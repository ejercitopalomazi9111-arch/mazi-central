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Patrones v1" sheetId="2" state="visible" r:id="rId2"/>
  </sheets>
  <definedNames>
    <definedName name="_xlnm.Print_Area" localSheetId="0">'Datos'!$A$1:$E$41</definedName>
    <definedName name="_xlnm.Print_Area" localSheetId="1">'Patrones v1'!$A$1:$L$27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:ss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2328"/>
      <sz val="11"/>
    </font>
    <font>
      <name val="Arial"/>
      <i val="1"/>
      <color rgb="006B7280"/>
      <sz val="9"/>
    </font>
    <font>
      <name val="Arial"/>
      <color rgb="001F2328"/>
      <sz val="11"/>
    </font>
    <font>
      <name val="Arial"/>
      <color rgb="006B7280"/>
      <sz val="11"/>
    </font>
    <font>
      <name val="Arial"/>
      <b val="1"/>
      <color rgb="001E78D7"/>
      <sz val="26"/>
    </font>
    <font>
      <name val="Arial"/>
      <color rgb="001F2328"/>
      <sz val="13"/>
    </font>
    <font>
      <name val="Arial"/>
      <b val="1"/>
      <color rgb="001F2328"/>
      <sz val="14"/>
    </font>
    <font>
      <sz val="26"/>
    </font>
    <font>
      <name val="Arial"/>
      <b val="1"/>
      <color rgb="001F2328"/>
      <sz val="12"/>
    </font>
    <font>
      <sz val="18"/>
    </font>
    <font>
      <name val="Arial"/>
      <color rgb="001F2328"/>
      <sz val="12"/>
    </font>
    <font>
      <sz val="14"/>
    </font>
    <font>
      <name val="Arial"/>
      <color rgb="001F2328"/>
      <sz val="10"/>
    </font>
    <font>
      <name val="Arial"/>
      <i val="1"/>
      <color rgb="006B7280"/>
      <sz val="11"/>
    </font>
  </fonts>
  <fills count="5">
    <fill>
      <patternFill/>
    </fill>
    <fill>
      <patternFill patternType="gray125"/>
    </fill>
    <fill>
      <patternFill patternType="solid">
        <fgColor rgb="003D6FE0"/>
      </patternFill>
    </fill>
    <fill>
      <patternFill patternType="solid">
        <fgColor rgb="00E5E7EB"/>
      </patternFill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 style="thin">
        <color rgb="001F2328"/>
      </left>
      <right style="thin">
        <color rgb="001F2328"/>
      </right>
      <top style="thin">
        <color rgb="001F2328"/>
      </top>
      <bottom style="thin">
        <color rgb="001F2328"/>
      </bottom>
    </border>
    <border>
      <left style="medium">
        <color rgb="001F2328"/>
      </left>
      <right style="thin">
        <color rgb="001F2328"/>
      </right>
      <top style="medium">
        <color rgb="001F2328"/>
      </top>
      <bottom style="thin">
        <color rgb="001F2328"/>
      </bottom>
    </border>
    <border>
      <left style="thin">
        <color rgb="001F2328"/>
      </left>
      <right style="thin">
        <color rgb="001F2328"/>
      </right>
      <top style="medium">
        <color rgb="001F2328"/>
      </top>
      <bottom style="thin">
        <color rgb="001F2328"/>
      </bottom>
    </border>
    <border>
      <left style="thin">
        <color rgb="001F2328"/>
      </left>
      <right style="medium">
        <color rgb="001F2328"/>
      </right>
      <top style="medium">
        <color rgb="001F2328"/>
      </top>
      <bottom style="thin">
        <color rgb="001F2328"/>
      </bottom>
    </border>
    <border>
      <left style="medium">
        <color rgb="001F2328"/>
      </left>
      <right style="thin">
        <color rgb="001F2328"/>
      </right>
      <top style="thin">
        <color rgb="001F2328"/>
      </top>
      <bottom style="thin">
        <color rgb="001F2328"/>
      </bottom>
    </border>
    <border>
      <left style="thin">
        <color rgb="001F2328"/>
      </left>
      <right style="medium">
        <color rgb="001F2328"/>
      </right>
      <top style="thin">
        <color rgb="001F2328"/>
      </top>
      <bottom style="thin">
        <color rgb="001F2328"/>
      </bottom>
    </border>
    <border>
      <left style="medium">
        <color rgb="001F2328"/>
      </left>
      <right style="thin">
        <color rgb="001F2328"/>
      </right>
      <top style="thin">
        <color rgb="001F2328"/>
      </top>
      <bottom style="medium">
        <color rgb="001F2328"/>
      </bottom>
    </border>
    <border>
      <left style="thin">
        <color rgb="001F2328"/>
      </left>
      <right style="thin">
        <color rgb="001F2328"/>
      </right>
      <top style="thin">
        <color rgb="001F2328"/>
      </top>
      <bottom style="medium">
        <color rgb="001F2328"/>
      </bottom>
    </border>
    <border>
      <left style="thin">
        <color rgb="001F2328"/>
      </left>
      <right style="medium">
        <color rgb="001F2328"/>
      </right>
      <top style="thin">
        <color rgb="001F2328"/>
      </top>
      <bottom style="medium">
        <color rgb="001F2328"/>
      </bottom>
    </border>
    <border>
      <left style="medium">
        <color rgb="001F2328"/>
      </left>
      <right/>
      <top style="medium">
        <color rgb="001F2328"/>
      </top>
      <bottom/>
    </border>
    <border>
      <left/>
      <right/>
      <top style="medium">
        <color rgb="001F2328"/>
      </top>
      <bottom/>
    </border>
    <border>
      <left/>
      <right style="medium">
        <color rgb="001F2328"/>
      </right>
      <top style="medium">
        <color rgb="001F2328"/>
      </top>
      <bottom/>
    </border>
    <border>
      <left style="medium">
        <color rgb="001F2328"/>
      </left>
      <right/>
      <top/>
      <bottom/>
    </border>
    <border>
      <left/>
      <right/>
      <top/>
      <bottom/>
    </border>
    <border>
      <left/>
      <right style="medium">
        <color rgb="001F2328"/>
      </right>
      <top/>
      <bottom/>
    </border>
    <border>
      <left style="medium">
        <color rgb="001F2328"/>
      </left>
      <right/>
      <top/>
      <bottom style="medium">
        <color rgb="001F2328"/>
      </bottom>
    </border>
    <border>
      <left/>
      <right/>
      <top/>
      <bottom style="medium">
        <color rgb="001F2328"/>
      </bottom>
    </border>
    <border>
      <left/>
      <right style="medium">
        <color rgb="001F2328"/>
      </right>
      <top/>
      <bottom style="medium">
        <color rgb="001F2328"/>
      </bottom>
    </border>
    <border>
      <bottom style="thin">
        <color rgb="009CA3AF"/>
      </bottom>
    </border>
    <border>
      <left style="medium">
        <color rgb="001F2328"/>
      </left>
      <bottom style="thin">
        <color rgb="009CA3AF"/>
      </bottom>
    </border>
    <border>
      <right style="medium">
        <color rgb="001F2328"/>
      </right>
      <bottom style="thin">
        <color rgb="009CA3AF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4" borderId="3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11" fillId="4" borderId="5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 indent="1"/>
    </xf>
    <xf numFmtId="0" fontId="0" fillId="0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1" fillId="4" borderId="7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2" fillId="4" borderId="8" applyAlignment="1" pivotButton="0" quotePrefix="0" xfId="0">
      <alignment horizontal="center" vertical="center" wrapText="1"/>
    </xf>
    <xf numFmtId="0" fontId="12" fillId="4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left" vertical="center" wrapText="1" indent="1"/>
    </xf>
    <xf numFmtId="0" fontId="0" fillId="0" borderId="11" pivotButton="0" quotePrefix="0" xfId="0"/>
    <xf numFmtId="0" fontId="13" fillId="4" borderId="12" applyAlignment="1" pivotButton="0" quotePrefix="0" xfId="0">
      <alignment horizontal="center" vertical="center" wrapText="1"/>
    </xf>
    <xf numFmtId="0" fontId="14" fillId="4" borderId="10" applyAlignment="1" pivotButton="0" quotePrefix="0" xfId="0">
      <alignment horizontal="left" vertical="top" wrapText="1" inden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4" borderId="5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0" fillId="4" borderId="13" pivotButton="0" quotePrefix="0" xfId="0"/>
    <xf numFmtId="0" fontId="0" fillId="4" borderId="14" pivotButton="0" quotePrefix="0" xfId="0"/>
    <xf numFmtId="0" fontId="0" fillId="4" borderId="15" pivotButton="0" quotePrefix="0" xfId="0"/>
    <xf numFmtId="0" fontId="4" fillId="4" borderId="5" applyAlignment="1" pivotButton="0" quotePrefix="0" xfId="0">
      <alignment horizontal="left" vertical="center" wrapText="1" inden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left" vertical="center" wrapText="1" indent="1"/>
    </xf>
    <xf numFmtId="0" fontId="4" fillId="4" borderId="9" applyAlignment="1" pivotButton="0" quotePrefix="0" xfId="0">
      <alignment horizontal="center" vertical="center" wrapText="1"/>
    </xf>
    <xf numFmtId="0" fontId="0" fillId="4" borderId="16" pivotButton="0" quotePrefix="0" xfId="0"/>
    <xf numFmtId="0" fontId="0" fillId="4" borderId="17" pivotButton="0" quotePrefix="0" xfId="0"/>
    <xf numFmtId="0" fontId="0" fillId="4" borderId="18" pivotButton="0" quotePrefix="0" xfId="0"/>
    <xf numFmtId="0" fontId="10" fillId="4" borderId="10" applyAlignment="1" pivotButton="0" quotePrefix="0" xfId="0">
      <alignment horizontal="left" vertical="center" wrapText="1" indent="1"/>
    </xf>
    <xf numFmtId="0" fontId="15" fillId="4" borderId="20" applyAlignment="1" pivotButton="0" quotePrefix="0" xfId="0">
      <alignment horizontal="left" vertical="center" wrapText="1" indent="1"/>
    </xf>
    <xf numFmtId="0" fontId="0" fillId="0" borderId="19" pivotButton="0" quotePrefix="0" xfId="0"/>
    <xf numFmtId="0" fontId="0" fillId="0" borderId="21" pivotButton="0" quotePrefix="0" xfId="0"/>
    <xf numFmtId="0" fontId="4" fillId="4" borderId="20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'Patrones v1'!F15</f>
            </strRef>
          </tx>
          <spPr>
            <a:solidFill xmlns:a="http://schemas.openxmlformats.org/drawingml/2006/main">
              <a:srgbClr val="F4A623"/>
            </a:solidFill>
            <a:ln xmlns:a="http://schemas.openxmlformats.org/drawingml/2006/main">
              <a:prstDash val="solid"/>
            </a:ln>
          </spPr>
          <cat>
            <numRef>
              <f>'Patrones v1'!$C$16:$C$18</f>
            </numRef>
          </cat>
          <val>
            <numRef>
              <f>'Patrones v1'!$F$16:$F$18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Vasos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13</row>
      <rowOff>0</rowOff>
    </from>
    <ext cx="2268000" cy="12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17" customWidth="1" min="4" max="4"/>
    <col width="15" customWidth="1" min="5" max="5"/>
    <col width="3" customWidth="1" min="6" max="6"/>
    <col width="13" customWidth="1" min="7" max="7"/>
    <col width="13" customWidth="1" min="8" max="8"/>
    <col width="13" customWidth="1" min="9" max="9"/>
  </cols>
  <sheetData>
    <row r="1" ht="34" customHeight="1">
      <c r="A1" s="1" t="inlineStr">
        <is>
          <t>Marca temporal</t>
        </is>
      </c>
      <c r="B1" s="1" t="inlineStr">
        <is>
          <t>Vasos de agua que tomas</t>
        </is>
      </c>
      <c r="C1" s="1" t="inlineStr">
        <is>
          <t>Horas de sueño promedio</t>
        </is>
      </c>
      <c r="D1" s="1" t="inlineStr">
        <is>
          <t>Horas de actividad física</t>
        </is>
      </c>
      <c r="E1" s="1" t="inlineStr">
        <is>
          <t>Nivel de energía</t>
        </is>
      </c>
      <c r="G1" s="2" t="inlineStr">
        <is>
          <t>Agua (número)</t>
        </is>
      </c>
      <c r="H1" s="2" t="inlineStr">
        <is>
          <t>Sueño (número)</t>
        </is>
      </c>
      <c r="I1" s="2" t="inlineStr">
        <is>
          <t>Actividad (número)</t>
        </is>
      </c>
    </row>
    <row r="2">
      <c r="A2" s="3" t="n">
        <v>46317.53186342592</v>
      </c>
      <c r="B2" s="4" t="n">
        <v>1</v>
      </c>
      <c r="C2" s="4" t="n">
        <v>4</v>
      </c>
      <c r="D2" s="4" t="n">
        <v>4</v>
      </c>
      <c r="E2" s="4" t="n"/>
      <c r="G2" s="5">
        <f>IF(TRIM(B2)="","",IFERROR(VALUE(B2),IFERROR((VALUE(LEFT(TRIM(B2),SEARCH(" o ",TRIM(B2))-1))+VALUE(LEFT(MID(TRIM(B2),SEARCH(" o ",TRIM(B2))+3,99),FIND(" ",MID(TRIM(B2),SEARCH(" o ",TRIM(B2))+3,99)&amp;" ")-1)))/2,IFERROR(VALUE(LEFT(TRIM(B2),FIND(" ",TRIM(B2)&amp;" ")-1)),""))))</f>
        <v/>
      </c>
      <c r="H2" s="5">
        <f>IF(TRIM(C2)="","",IFERROR(VALUE(C2),IFERROR((VALUE(LEFT(TRIM(C2),SEARCH(" o ",TRIM(C2))-1))+VALUE(LEFT(MID(TRIM(C2),SEARCH(" o ",TRIM(C2))+3,99),FIND(" ",MID(TRIM(C2),SEARCH(" o ",TRIM(C2))+3,99)&amp;" ")-1)))/2,IFERROR(VALUE(LEFT(TRIM(C2),FIND(" ",TRIM(C2)&amp;" ")-1)),""))))</f>
        <v/>
      </c>
      <c r="I2" s="5">
        <f>IF(TRIM(D2)="","",IFERROR(VALUE(D2),IFERROR((VALUE(LEFT(TRIM(D2),SEARCH(" o ",TRIM(D2))-1))+VALUE(LEFT(MID(TRIM(D2),SEARCH(" o ",TRIM(D2))+3,99),FIND(" ",MID(TRIM(D2),SEARCH(" o ",TRIM(D2))+3,99)&amp;" ")-1)))/2,IFERROR(VALUE(LEFT(TRIM(D2),FIND(" ",TRIM(D2)&amp;" ")-1)),""))))</f>
        <v/>
      </c>
    </row>
    <row r="3">
      <c r="A3" s="3" t="n">
        <v>46317.53231481482</v>
      </c>
      <c r="B3" s="4" t="n">
        <v>5</v>
      </c>
      <c r="C3" s="4" t="n">
        <v>6</v>
      </c>
      <c r="D3" s="4" t="n">
        <v>8</v>
      </c>
      <c r="E3" s="4" t="n"/>
      <c r="G3" s="5">
        <f>IF(TRIM(B3)="","",IFERROR(VALUE(B3),IFERROR((VALUE(LEFT(TRIM(B3),SEARCH(" o ",TRIM(B3))-1))+VALUE(LEFT(MID(TRIM(B3),SEARCH(" o ",TRIM(B3))+3,99),FIND(" ",MID(TRIM(B3),SEARCH(" o ",TRIM(B3))+3,99)&amp;" ")-1)))/2,IFERROR(VALUE(LEFT(TRIM(B3),FIND(" ",TRIM(B3)&amp;" ")-1)),""))))</f>
        <v/>
      </c>
      <c r="H3" s="5">
        <f>IF(TRIM(C3)="","",IFERROR(VALUE(C3),IFERROR((VALUE(LEFT(TRIM(C3),SEARCH(" o ",TRIM(C3))-1))+VALUE(LEFT(MID(TRIM(C3),SEARCH(" o ",TRIM(C3))+3,99),FIND(" ",MID(TRIM(C3),SEARCH(" o ",TRIM(C3))+3,99)&amp;" ")-1)))/2,IFERROR(VALUE(LEFT(TRIM(C3),FIND(" ",TRIM(C3)&amp;" ")-1)),""))))</f>
        <v/>
      </c>
      <c r="I3" s="5">
        <f>IF(TRIM(D3)="","",IFERROR(VALUE(D3),IFERROR((VALUE(LEFT(TRIM(D3),SEARCH(" o ",TRIM(D3))-1))+VALUE(LEFT(MID(TRIM(D3),SEARCH(" o ",TRIM(D3))+3,99),FIND(" ",MID(TRIM(D3),SEARCH(" o ",TRIM(D3))+3,99)&amp;" ")-1)))/2,IFERROR(VALUE(LEFT(TRIM(D3),FIND(" ",TRIM(D3)&amp;" ")-1)),""))))</f>
        <v/>
      </c>
    </row>
    <row r="4">
      <c r="A4" s="3" t="n">
        <v>46317.53231481482</v>
      </c>
      <c r="B4" s="4" t="n">
        <v>8</v>
      </c>
      <c r="C4" s="4" t="n">
        <v>10</v>
      </c>
      <c r="D4" s="4" t="n">
        <v>3</v>
      </c>
      <c r="E4" s="4" t="n"/>
      <c r="G4" s="5">
        <f>IF(TRIM(B4)="","",IFERROR(VALUE(B4),IFERROR((VALUE(LEFT(TRIM(B4),SEARCH(" o ",TRIM(B4))-1))+VALUE(LEFT(MID(TRIM(B4),SEARCH(" o ",TRIM(B4))+3,99),FIND(" ",MID(TRIM(B4),SEARCH(" o ",TRIM(B4))+3,99)&amp;" ")-1)))/2,IFERROR(VALUE(LEFT(TRIM(B4),FIND(" ",TRIM(B4)&amp;" ")-1)),""))))</f>
        <v/>
      </c>
      <c r="H4" s="5">
        <f>IF(TRIM(C4)="","",IFERROR(VALUE(C4),IFERROR((VALUE(LEFT(TRIM(C4),SEARCH(" o ",TRIM(C4))-1))+VALUE(LEFT(MID(TRIM(C4),SEARCH(" o ",TRIM(C4))+3,99),FIND(" ",MID(TRIM(C4),SEARCH(" o ",TRIM(C4))+3,99)&amp;" ")-1)))/2,IFERROR(VALUE(LEFT(TRIM(C4),FIND(" ",TRIM(C4)&amp;" ")-1)),""))))</f>
        <v/>
      </c>
      <c r="I4" s="5">
        <f>IF(TRIM(D4)="","",IFERROR(VALUE(D4),IFERROR((VALUE(LEFT(TRIM(D4),SEARCH(" o ",TRIM(D4))-1))+VALUE(LEFT(MID(TRIM(D4),SEARCH(" o ",TRIM(D4))+3,99),FIND(" ",MID(TRIM(D4),SEARCH(" o ",TRIM(D4))+3,99)&amp;" ")-1)))/2,IFERROR(VALUE(LEFT(TRIM(D4),FIND(" ",TRIM(D4)&amp;" ")-1)),""))))</f>
        <v/>
      </c>
    </row>
    <row r="5">
      <c r="A5" s="3" t="n">
        <v>46317.53252314815</v>
      </c>
      <c r="B5" s="4" t="inlineStr">
        <is>
          <t>3 vasos</t>
        </is>
      </c>
      <c r="C5" s="4" t="inlineStr">
        <is>
          <t>7 horas</t>
        </is>
      </c>
      <c r="D5" s="4" t="inlineStr">
        <is>
          <t>1 hora</t>
        </is>
      </c>
      <c r="E5" s="4" t="n"/>
      <c r="G5" s="5">
        <f>IF(TRIM(B5)="","",IFERROR(VALUE(B5),IFERROR((VALUE(LEFT(TRIM(B5),SEARCH(" o ",TRIM(B5))-1))+VALUE(LEFT(MID(TRIM(B5),SEARCH(" o ",TRIM(B5))+3,99),FIND(" ",MID(TRIM(B5),SEARCH(" o ",TRIM(B5))+3,99)&amp;" ")-1)))/2,IFERROR(VALUE(LEFT(TRIM(B5),FIND(" ",TRIM(B5)&amp;" ")-1)),""))))</f>
        <v/>
      </c>
      <c r="H5" s="5">
        <f>IF(TRIM(C5)="","",IFERROR(VALUE(C5),IFERROR((VALUE(LEFT(TRIM(C5),SEARCH(" o ",TRIM(C5))-1))+VALUE(LEFT(MID(TRIM(C5),SEARCH(" o ",TRIM(C5))+3,99),FIND(" ",MID(TRIM(C5),SEARCH(" o ",TRIM(C5))+3,99)&amp;" ")-1)))/2,IFERROR(VALUE(LEFT(TRIM(C5),FIND(" ",TRIM(C5)&amp;" ")-1)),""))))</f>
        <v/>
      </c>
      <c r="I5" s="5">
        <f>IF(TRIM(D5)="","",IFERROR(VALUE(D5),IFERROR((VALUE(LEFT(TRIM(D5),SEARCH(" o ",TRIM(D5))-1))+VALUE(LEFT(MID(TRIM(D5),SEARCH(" o ",TRIM(D5))+3,99),FIND(" ",MID(TRIM(D5),SEARCH(" o ",TRIM(D5))+3,99)&amp;" ")-1)))/2,IFERROR(VALUE(LEFT(TRIM(D5),FIND(" ",TRIM(D5)&amp;" ")-1)),""))))</f>
        <v/>
      </c>
    </row>
    <row r="6">
      <c r="A6" s="3" t="n">
        <v>46317.53258101852</v>
      </c>
      <c r="B6" s="4" t="n">
        <v>4</v>
      </c>
      <c r="C6" s="4" t="n">
        <v>8</v>
      </c>
      <c r="D6" s="4" t="n">
        <v>2</v>
      </c>
      <c r="E6" s="4" t="n"/>
      <c r="G6" s="5">
        <f>IF(TRIM(B6)="","",IFERROR(VALUE(B6),IFERROR((VALUE(LEFT(TRIM(B6),SEARCH(" o ",TRIM(B6))-1))+VALUE(LEFT(MID(TRIM(B6),SEARCH(" o ",TRIM(B6))+3,99),FIND(" ",MID(TRIM(B6),SEARCH(" o ",TRIM(B6))+3,99)&amp;" ")-1)))/2,IFERROR(VALUE(LEFT(TRIM(B6),FIND(" ",TRIM(B6)&amp;" ")-1)),""))))</f>
        <v/>
      </c>
      <c r="H6" s="5">
        <f>IF(TRIM(C6)="","",IFERROR(VALUE(C6),IFERROR((VALUE(LEFT(TRIM(C6),SEARCH(" o ",TRIM(C6))-1))+VALUE(LEFT(MID(TRIM(C6),SEARCH(" o ",TRIM(C6))+3,99),FIND(" ",MID(TRIM(C6),SEARCH(" o ",TRIM(C6))+3,99)&amp;" ")-1)))/2,IFERROR(VALUE(LEFT(TRIM(C6),FIND(" ",TRIM(C6)&amp;" ")-1)),""))))</f>
        <v/>
      </c>
      <c r="I6" s="5">
        <f>IF(TRIM(D6)="","",IFERROR(VALUE(D6),IFERROR((VALUE(LEFT(TRIM(D6),SEARCH(" o ",TRIM(D6))-1))+VALUE(LEFT(MID(TRIM(D6),SEARCH(" o ",TRIM(D6))+3,99),FIND(" ",MID(TRIM(D6),SEARCH(" o ",TRIM(D6))+3,99)&amp;" ")-1)))/2,IFERROR(VALUE(LEFT(TRIM(D6),FIND(" ",TRIM(D6)&amp;" ")-1)),""))))</f>
        <v/>
      </c>
    </row>
    <row r="7">
      <c r="A7" s="3" t="n">
        <v>46317.53280092592</v>
      </c>
      <c r="B7" s="4" t="n">
        <v>7</v>
      </c>
      <c r="C7" s="4" t="n">
        <v>3</v>
      </c>
      <c r="D7" s="4" t="n">
        <v>7</v>
      </c>
      <c r="E7" s="4" t="n"/>
      <c r="G7" s="5">
        <f>IF(TRIM(B7)="","",IFERROR(VALUE(B7),IFERROR((VALUE(LEFT(TRIM(B7),SEARCH(" o ",TRIM(B7))-1))+VALUE(LEFT(MID(TRIM(B7),SEARCH(" o ",TRIM(B7))+3,99),FIND(" ",MID(TRIM(B7),SEARCH(" o ",TRIM(B7))+3,99)&amp;" ")-1)))/2,IFERROR(VALUE(LEFT(TRIM(B7),FIND(" ",TRIM(B7)&amp;" ")-1)),""))))</f>
        <v/>
      </c>
      <c r="H7" s="5">
        <f>IF(TRIM(C7)="","",IFERROR(VALUE(C7),IFERROR((VALUE(LEFT(TRIM(C7),SEARCH(" o ",TRIM(C7))-1))+VALUE(LEFT(MID(TRIM(C7),SEARCH(" o ",TRIM(C7))+3,99),FIND(" ",MID(TRIM(C7),SEARCH(" o ",TRIM(C7))+3,99)&amp;" ")-1)))/2,IFERROR(VALUE(LEFT(TRIM(C7),FIND(" ",TRIM(C7)&amp;" ")-1)),""))))</f>
        <v/>
      </c>
      <c r="I7" s="5">
        <f>IF(TRIM(D7)="","",IFERROR(VALUE(D7),IFERROR((VALUE(LEFT(TRIM(D7),SEARCH(" o ",TRIM(D7))-1))+VALUE(LEFT(MID(TRIM(D7),SEARCH(" o ",TRIM(D7))+3,99),FIND(" ",MID(TRIM(D7),SEARCH(" o ",TRIM(D7))+3,99)&amp;" ")-1)))/2,IFERROR(VALUE(LEFT(TRIM(D7),FIND(" ",TRIM(D7)&amp;" ")-1)),""))))</f>
        <v/>
      </c>
    </row>
    <row r="8">
      <c r="A8" s="3" t="n">
        <v>46317.53304398148</v>
      </c>
      <c r="B8" s="4" t="n">
        <v>9</v>
      </c>
      <c r="C8" s="4" t="n">
        <v>7</v>
      </c>
      <c r="D8" s="4" t="n">
        <v>1</v>
      </c>
      <c r="E8" s="4" t="n"/>
      <c r="G8" s="5">
        <f>IF(TRIM(B8)="","",IFERROR(VALUE(B8),IFERROR((VALUE(LEFT(TRIM(B8),SEARCH(" o ",TRIM(B8))-1))+VALUE(LEFT(MID(TRIM(B8),SEARCH(" o ",TRIM(B8))+3,99),FIND(" ",MID(TRIM(B8),SEARCH(" o ",TRIM(B8))+3,99)&amp;" ")-1)))/2,IFERROR(VALUE(LEFT(TRIM(B8),FIND(" ",TRIM(B8)&amp;" ")-1)),""))))</f>
        <v/>
      </c>
      <c r="H8" s="5">
        <f>IF(TRIM(C8)="","",IFERROR(VALUE(C8),IFERROR((VALUE(LEFT(TRIM(C8),SEARCH(" o ",TRIM(C8))-1))+VALUE(LEFT(MID(TRIM(C8),SEARCH(" o ",TRIM(C8))+3,99),FIND(" ",MID(TRIM(C8),SEARCH(" o ",TRIM(C8))+3,99)&amp;" ")-1)))/2,IFERROR(VALUE(LEFT(TRIM(C8),FIND(" ",TRIM(C8)&amp;" ")-1)),""))))</f>
        <v/>
      </c>
      <c r="I8" s="5">
        <f>IF(TRIM(D8)="","",IFERROR(VALUE(D8),IFERROR((VALUE(LEFT(TRIM(D8),SEARCH(" o ",TRIM(D8))-1))+VALUE(LEFT(MID(TRIM(D8),SEARCH(" o ",TRIM(D8))+3,99),FIND(" ",MID(TRIM(D8),SEARCH(" o ",TRIM(D8))+3,99)&amp;" ")-1)))/2,IFERROR(VALUE(LEFT(TRIM(D8),FIND(" ",TRIM(D8)&amp;" ")-1)),""))))</f>
        <v/>
      </c>
    </row>
    <row r="9">
      <c r="A9" s="3" t="n">
        <v>46317.53321759259</v>
      </c>
      <c r="B9" s="4" t="inlineStr">
        <is>
          <t>5 vasos</t>
        </is>
      </c>
      <c r="C9" s="4" t="inlineStr">
        <is>
          <t>6 horas</t>
        </is>
      </c>
      <c r="D9" s="4" t="inlineStr">
        <is>
          <t>1 hora</t>
        </is>
      </c>
      <c r="E9" s="4" t="n"/>
      <c r="G9" s="5">
        <f>IF(TRIM(B9)="","",IFERROR(VALUE(B9),IFERROR((VALUE(LEFT(TRIM(B9),SEARCH(" o ",TRIM(B9))-1))+VALUE(LEFT(MID(TRIM(B9),SEARCH(" o ",TRIM(B9))+3,99),FIND(" ",MID(TRIM(B9),SEARCH(" o ",TRIM(B9))+3,99)&amp;" ")-1)))/2,IFERROR(VALUE(LEFT(TRIM(B9),FIND(" ",TRIM(B9)&amp;" ")-1)),""))))</f>
        <v/>
      </c>
      <c r="H9" s="5">
        <f>IF(TRIM(C9)="","",IFERROR(VALUE(C9),IFERROR((VALUE(LEFT(TRIM(C9),SEARCH(" o ",TRIM(C9))-1))+VALUE(LEFT(MID(TRIM(C9),SEARCH(" o ",TRIM(C9))+3,99),FIND(" ",MID(TRIM(C9),SEARCH(" o ",TRIM(C9))+3,99)&amp;" ")-1)))/2,IFERROR(VALUE(LEFT(TRIM(C9),FIND(" ",TRIM(C9)&amp;" ")-1)),""))))</f>
        <v/>
      </c>
      <c r="I9" s="5">
        <f>IF(TRIM(D9)="","",IFERROR(VALUE(D9),IFERROR((VALUE(LEFT(TRIM(D9),SEARCH(" o ",TRIM(D9))-1))+VALUE(LEFT(MID(TRIM(D9),SEARCH(" o ",TRIM(D9))+3,99),FIND(" ",MID(TRIM(D9),SEARCH(" o ",TRIM(D9))+3,99)&amp;" ")-1)))/2,IFERROR(VALUE(LEFT(TRIM(D9),FIND(" ",TRIM(D9)&amp;" ")-1)),""))))</f>
        <v/>
      </c>
    </row>
    <row r="10">
      <c r="A10" s="3" t="n">
        <v>46317.53355324074</v>
      </c>
      <c r="B10" s="4" t="n">
        <v>5</v>
      </c>
      <c r="C10" s="4" t="n">
        <v>6</v>
      </c>
      <c r="D10" s="4" t="n">
        <v>1</v>
      </c>
      <c r="E10" s="4" t="n"/>
      <c r="G10" s="5">
        <f>IF(TRIM(B10)="","",IFERROR(VALUE(B10),IFERROR((VALUE(LEFT(TRIM(B10),SEARCH(" o ",TRIM(B10))-1))+VALUE(LEFT(MID(TRIM(B10),SEARCH(" o ",TRIM(B10))+3,99),FIND(" ",MID(TRIM(B10),SEARCH(" o ",TRIM(B10))+3,99)&amp;" ")-1)))/2,IFERROR(VALUE(LEFT(TRIM(B10),FIND(" ",TRIM(B10)&amp;" ")-1)),""))))</f>
        <v/>
      </c>
      <c r="H10" s="5">
        <f>IF(TRIM(C10)="","",IFERROR(VALUE(C10),IFERROR((VALUE(LEFT(TRIM(C10),SEARCH(" o ",TRIM(C10))-1))+VALUE(LEFT(MID(TRIM(C10),SEARCH(" o ",TRIM(C10))+3,99),FIND(" ",MID(TRIM(C10),SEARCH(" o ",TRIM(C10))+3,99)&amp;" ")-1)))/2,IFERROR(VALUE(LEFT(TRIM(C10),FIND(" ",TRIM(C10)&amp;" ")-1)),""))))</f>
        <v/>
      </c>
      <c r="I10" s="5">
        <f>IF(TRIM(D10)="","",IFERROR(VALUE(D10),IFERROR((VALUE(LEFT(TRIM(D10),SEARCH(" o ",TRIM(D10))-1))+VALUE(LEFT(MID(TRIM(D10),SEARCH(" o ",TRIM(D10))+3,99),FIND(" ",MID(TRIM(D10),SEARCH(" o ",TRIM(D10))+3,99)&amp;" ")-1)))/2,IFERROR(VALUE(LEFT(TRIM(D10),FIND(" ",TRIM(D10)&amp;" ")-1)),""))))</f>
        <v/>
      </c>
    </row>
    <row r="11">
      <c r="A11" s="3" t="n">
        <v>46317.5337037037</v>
      </c>
      <c r="B11" s="4" t="n">
        <v>4</v>
      </c>
      <c r="C11" s="4" t="inlineStr">
        <is>
          <t>9 horas xd</t>
        </is>
      </c>
      <c r="D11" s="4" t="inlineStr">
        <is>
          <t>1 o 2 horas</t>
        </is>
      </c>
      <c r="E11" s="4" t="n"/>
      <c r="G11" s="5">
        <f>IF(TRIM(B11)="","",IFERROR(VALUE(B11),IFERROR((VALUE(LEFT(TRIM(B11),SEARCH(" o ",TRIM(B11))-1))+VALUE(LEFT(MID(TRIM(B11),SEARCH(" o ",TRIM(B11))+3,99),FIND(" ",MID(TRIM(B11),SEARCH(" o ",TRIM(B11))+3,99)&amp;" ")-1)))/2,IFERROR(VALUE(LEFT(TRIM(B11),FIND(" ",TRIM(B11)&amp;" ")-1)),""))))</f>
        <v/>
      </c>
      <c r="H11" s="5">
        <f>IF(TRIM(C11)="","",IFERROR(VALUE(C11),IFERROR((VALUE(LEFT(TRIM(C11),SEARCH(" o ",TRIM(C11))-1))+VALUE(LEFT(MID(TRIM(C11),SEARCH(" o ",TRIM(C11))+3,99),FIND(" ",MID(TRIM(C11),SEARCH(" o ",TRIM(C11))+3,99)&amp;" ")-1)))/2,IFERROR(VALUE(LEFT(TRIM(C11),FIND(" ",TRIM(C11)&amp;" ")-1)),""))))</f>
        <v/>
      </c>
      <c r="I11" s="5">
        <f>IF(TRIM(D11)="","",IFERROR(VALUE(D11),IFERROR((VALUE(LEFT(TRIM(D11),SEARCH(" o ",TRIM(D11))-1))+VALUE(LEFT(MID(TRIM(D11),SEARCH(" o ",TRIM(D11))+3,99),FIND(" ",MID(TRIM(D11),SEARCH(" o ",TRIM(D11))+3,99)&amp;" ")-1)))/2,IFERROR(VALUE(LEFT(TRIM(D11),FIND(" ",TRIM(D11)&amp;" ")-1)),""))))</f>
        <v/>
      </c>
    </row>
    <row r="12">
      <c r="A12" s="3" t="n"/>
      <c r="B12" s="4" t="n"/>
      <c r="C12" s="4" t="n"/>
      <c r="D12" s="4" t="n"/>
      <c r="E12" s="4" t="n"/>
      <c r="G12" s="5">
        <f>IF(TRIM(B12)="","",IFERROR(VALUE(B12),IFERROR((VALUE(LEFT(TRIM(B12),SEARCH(" o ",TRIM(B12))-1))+VALUE(LEFT(MID(TRIM(B12),SEARCH(" o ",TRIM(B12))+3,99),FIND(" ",MID(TRIM(B12),SEARCH(" o ",TRIM(B12))+3,99)&amp;" ")-1)))/2,IFERROR(VALUE(LEFT(TRIM(B12),FIND(" ",TRIM(B12)&amp;" ")-1)),""))))</f>
        <v/>
      </c>
      <c r="H12" s="5">
        <f>IF(TRIM(C12)="","",IFERROR(VALUE(C12),IFERROR((VALUE(LEFT(TRIM(C12),SEARCH(" o ",TRIM(C12))-1))+VALUE(LEFT(MID(TRIM(C12),SEARCH(" o ",TRIM(C12))+3,99),FIND(" ",MID(TRIM(C12),SEARCH(" o ",TRIM(C12))+3,99)&amp;" ")-1)))/2,IFERROR(VALUE(LEFT(TRIM(C12),FIND(" ",TRIM(C12)&amp;" ")-1)),""))))</f>
        <v/>
      </c>
      <c r="I12" s="5">
        <f>IF(TRIM(D12)="","",IFERROR(VALUE(D12),IFERROR((VALUE(LEFT(TRIM(D12),SEARCH(" o ",TRIM(D12))-1))+VALUE(LEFT(MID(TRIM(D12),SEARCH(" o ",TRIM(D12))+3,99),FIND(" ",MID(TRIM(D12),SEARCH(" o ",TRIM(D12))+3,99)&amp;" ")-1)))/2,IFERROR(VALUE(LEFT(TRIM(D12),FIND(" ",TRIM(D12)&amp;" ")-1)),""))))</f>
        <v/>
      </c>
    </row>
    <row r="13">
      <c r="A13" s="3" t="n"/>
      <c r="B13" s="4" t="n"/>
      <c r="C13" s="4" t="n"/>
      <c r="D13" s="4" t="n"/>
      <c r="E13" s="4" t="n"/>
      <c r="G13" s="5">
        <f>IF(TRIM(B13)="","",IFERROR(VALUE(B13),IFERROR((VALUE(LEFT(TRIM(B13),SEARCH(" o ",TRIM(B13))-1))+VALUE(LEFT(MID(TRIM(B13),SEARCH(" o ",TRIM(B13))+3,99),FIND(" ",MID(TRIM(B13),SEARCH(" o ",TRIM(B13))+3,99)&amp;" ")-1)))/2,IFERROR(VALUE(LEFT(TRIM(B13),FIND(" ",TRIM(B13)&amp;" ")-1)),""))))</f>
        <v/>
      </c>
      <c r="H13" s="5">
        <f>IF(TRIM(C13)="","",IFERROR(VALUE(C13),IFERROR((VALUE(LEFT(TRIM(C13),SEARCH(" o ",TRIM(C13))-1))+VALUE(LEFT(MID(TRIM(C13),SEARCH(" o ",TRIM(C13))+3,99),FIND(" ",MID(TRIM(C13),SEARCH(" o ",TRIM(C13))+3,99)&amp;" ")-1)))/2,IFERROR(VALUE(LEFT(TRIM(C13),FIND(" ",TRIM(C13)&amp;" ")-1)),""))))</f>
        <v/>
      </c>
      <c r="I13" s="5">
        <f>IF(TRIM(D13)="","",IFERROR(VALUE(D13),IFERROR((VALUE(LEFT(TRIM(D13),SEARCH(" o ",TRIM(D13))-1))+VALUE(LEFT(MID(TRIM(D13),SEARCH(" o ",TRIM(D13))+3,99),FIND(" ",MID(TRIM(D13),SEARCH(" o ",TRIM(D13))+3,99)&amp;" ")-1)))/2,IFERROR(VALUE(LEFT(TRIM(D13),FIND(" ",TRIM(D13)&amp;" ")-1)),""))))</f>
        <v/>
      </c>
    </row>
    <row r="14">
      <c r="A14" s="3" t="n"/>
      <c r="B14" s="4" t="n"/>
      <c r="C14" s="4" t="n"/>
      <c r="D14" s="4" t="n"/>
      <c r="E14" s="4" t="n"/>
      <c r="G14" s="5">
        <f>IF(TRIM(B14)="","",IFERROR(VALUE(B14),IFERROR((VALUE(LEFT(TRIM(B14),SEARCH(" o ",TRIM(B14))-1))+VALUE(LEFT(MID(TRIM(B14),SEARCH(" o ",TRIM(B14))+3,99),FIND(" ",MID(TRIM(B14),SEARCH(" o ",TRIM(B14))+3,99)&amp;" ")-1)))/2,IFERROR(VALUE(LEFT(TRIM(B14),FIND(" ",TRIM(B14)&amp;" ")-1)),""))))</f>
        <v/>
      </c>
      <c r="H14" s="5">
        <f>IF(TRIM(C14)="","",IFERROR(VALUE(C14),IFERROR((VALUE(LEFT(TRIM(C14),SEARCH(" o ",TRIM(C14))-1))+VALUE(LEFT(MID(TRIM(C14),SEARCH(" o ",TRIM(C14))+3,99),FIND(" ",MID(TRIM(C14),SEARCH(" o ",TRIM(C14))+3,99)&amp;" ")-1)))/2,IFERROR(VALUE(LEFT(TRIM(C14),FIND(" ",TRIM(C14)&amp;" ")-1)),""))))</f>
        <v/>
      </c>
      <c r="I14" s="5">
        <f>IF(TRIM(D14)="","",IFERROR(VALUE(D14),IFERROR((VALUE(LEFT(TRIM(D14),SEARCH(" o ",TRIM(D14))-1))+VALUE(LEFT(MID(TRIM(D14),SEARCH(" o ",TRIM(D14))+3,99),FIND(" ",MID(TRIM(D14),SEARCH(" o ",TRIM(D14))+3,99)&amp;" ")-1)))/2,IFERROR(VALUE(LEFT(TRIM(D14),FIND(" ",TRIM(D14)&amp;" ")-1)),""))))</f>
        <v/>
      </c>
    </row>
    <row r="15">
      <c r="A15" s="3" t="n"/>
      <c r="B15" s="4" t="n"/>
      <c r="C15" s="4" t="n"/>
      <c r="D15" s="4" t="n"/>
      <c r="E15" s="4" t="n"/>
      <c r="G15" s="5">
        <f>IF(TRIM(B15)="","",IFERROR(VALUE(B15),IFERROR((VALUE(LEFT(TRIM(B15),SEARCH(" o ",TRIM(B15))-1))+VALUE(LEFT(MID(TRIM(B15),SEARCH(" o ",TRIM(B15))+3,99),FIND(" ",MID(TRIM(B15),SEARCH(" o ",TRIM(B15))+3,99)&amp;" ")-1)))/2,IFERROR(VALUE(LEFT(TRIM(B15),FIND(" ",TRIM(B15)&amp;" ")-1)),""))))</f>
        <v/>
      </c>
      <c r="H15" s="5">
        <f>IF(TRIM(C15)="","",IFERROR(VALUE(C15),IFERROR((VALUE(LEFT(TRIM(C15),SEARCH(" o ",TRIM(C15))-1))+VALUE(LEFT(MID(TRIM(C15),SEARCH(" o ",TRIM(C15))+3,99),FIND(" ",MID(TRIM(C15),SEARCH(" o ",TRIM(C15))+3,99)&amp;" ")-1)))/2,IFERROR(VALUE(LEFT(TRIM(C15),FIND(" ",TRIM(C15)&amp;" ")-1)),""))))</f>
        <v/>
      </c>
      <c r="I15" s="5">
        <f>IF(TRIM(D15)="","",IFERROR(VALUE(D15),IFERROR((VALUE(LEFT(TRIM(D15),SEARCH(" o ",TRIM(D15))-1))+VALUE(LEFT(MID(TRIM(D15),SEARCH(" o ",TRIM(D15))+3,99),FIND(" ",MID(TRIM(D15),SEARCH(" o ",TRIM(D15))+3,99)&amp;" ")-1)))/2,IFERROR(VALUE(LEFT(TRIM(D15),FIND(" ",TRIM(D15)&amp;" ")-1)),""))))</f>
        <v/>
      </c>
    </row>
    <row r="16">
      <c r="A16" s="3" t="n"/>
      <c r="B16" s="4" t="n"/>
      <c r="C16" s="4" t="n"/>
      <c r="D16" s="4" t="n"/>
      <c r="E16" s="4" t="n"/>
      <c r="G16" s="5">
        <f>IF(TRIM(B16)="","",IFERROR(VALUE(B16),IFERROR((VALUE(LEFT(TRIM(B16),SEARCH(" o ",TRIM(B16))-1))+VALUE(LEFT(MID(TRIM(B16),SEARCH(" o ",TRIM(B16))+3,99),FIND(" ",MID(TRIM(B16),SEARCH(" o ",TRIM(B16))+3,99)&amp;" ")-1)))/2,IFERROR(VALUE(LEFT(TRIM(B16),FIND(" ",TRIM(B16)&amp;" ")-1)),""))))</f>
        <v/>
      </c>
      <c r="H16" s="5">
        <f>IF(TRIM(C16)="","",IFERROR(VALUE(C16),IFERROR((VALUE(LEFT(TRIM(C16),SEARCH(" o ",TRIM(C16))-1))+VALUE(LEFT(MID(TRIM(C16),SEARCH(" o ",TRIM(C16))+3,99),FIND(" ",MID(TRIM(C16),SEARCH(" o ",TRIM(C16))+3,99)&amp;" ")-1)))/2,IFERROR(VALUE(LEFT(TRIM(C16),FIND(" ",TRIM(C16)&amp;" ")-1)),""))))</f>
        <v/>
      </c>
      <c r="I16" s="5">
        <f>IF(TRIM(D16)="","",IFERROR(VALUE(D16),IFERROR((VALUE(LEFT(TRIM(D16),SEARCH(" o ",TRIM(D16))-1))+VALUE(LEFT(MID(TRIM(D16),SEARCH(" o ",TRIM(D16))+3,99),FIND(" ",MID(TRIM(D16),SEARCH(" o ",TRIM(D16))+3,99)&amp;" ")-1)))/2,IFERROR(VALUE(LEFT(TRIM(D16),FIND(" ",TRIM(D16)&amp;" ")-1)),""))))</f>
        <v/>
      </c>
    </row>
    <row r="17">
      <c r="A17" s="3" t="n"/>
      <c r="B17" s="4" t="n"/>
      <c r="C17" s="4" t="n"/>
      <c r="D17" s="4" t="n"/>
      <c r="E17" s="4" t="n"/>
      <c r="G17" s="5">
        <f>IF(TRIM(B17)="","",IFERROR(VALUE(B17),IFERROR((VALUE(LEFT(TRIM(B17),SEARCH(" o ",TRIM(B17))-1))+VALUE(LEFT(MID(TRIM(B17),SEARCH(" o ",TRIM(B17))+3,99),FIND(" ",MID(TRIM(B17),SEARCH(" o ",TRIM(B17))+3,99)&amp;" ")-1)))/2,IFERROR(VALUE(LEFT(TRIM(B17),FIND(" ",TRIM(B17)&amp;" ")-1)),""))))</f>
        <v/>
      </c>
      <c r="H17" s="5">
        <f>IF(TRIM(C17)="","",IFERROR(VALUE(C17),IFERROR((VALUE(LEFT(TRIM(C17),SEARCH(" o ",TRIM(C17))-1))+VALUE(LEFT(MID(TRIM(C17),SEARCH(" o ",TRIM(C17))+3,99),FIND(" ",MID(TRIM(C17),SEARCH(" o ",TRIM(C17))+3,99)&amp;" ")-1)))/2,IFERROR(VALUE(LEFT(TRIM(C17),FIND(" ",TRIM(C17)&amp;" ")-1)),""))))</f>
        <v/>
      </c>
      <c r="I17" s="5">
        <f>IF(TRIM(D17)="","",IFERROR(VALUE(D17),IFERROR((VALUE(LEFT(TRIM(D17),SEARCH(" o ",TRIM(D17))-1))+VALUE(LEFT(MID(TRIM(D17),SEARCH(" o ",TRIM(D17))+3,99),FIND(" ",MID(TRIM(D17),SEARCH(" o ",TRIM(D17))+3,99)&amp;" ")-1)))/2,IFERROR(VALUE(LEFT(TRIM(D17),FIND(" ",TRIM(D17)&amp;" ")-1)),""))))</f>
        <v/>
      </c>
    </row>
    <row r="18">
      <c r="A18" s="3" t="n"/>
      <c r="B18" s="4" t="n"/>
      <c r="C18" s="4" t="n"/>
      <c r="D18" s="4" t="n"/>
      <c r="E18" s="4" t="n"/>
      <c r="G18" s="5">
        <f>IF(TRIM(B18)="","",IFERROR(VALUE(B18),IFERROR((VALUE(LEFT(TRIM(B18),SEARCH(" o ",TRIM(B18))-1))+VALUE(LEFT(MID(TRIM(B18),SEARCH(" o ",TRIM(B18))+3,99),FIND(" ",MID(TRIM(B18),SEARCH(" o ",TRIM(B18))+3,99)&amp;" ")-1)))/2,IFERROR(VALUE(LEFT(TRIM(B18),FIND(" ",TRIM(B18)&amp;" ")-1)),""))))</f>
        <v/>
      </c>
      <c r="H18" s="5">
        <f>IF(TRIM(C18)="","",IFERROR(VALUE(C18),IFERROR((VALUE(LEFT(TRIM(C18),SEARCH(" o ",TRIM(C18))-1))+VALUE(LEFT(MID(TRIM(C18),SEARCH(" o ",TRIM(C18))+3,99),FIND(" ",MID(TRIM(C18),SEARCH(" o ",TRIM(C18))+3,99)&amp;" ")-1)))/2,IFERROR(VALUE(LEFT(TRIM(C18),FIND(" ",TRIM(C18)&amp;" ")-1)),""))))</f>
        <v/>
      </c>
      <c r="I18" s="5">
        <f>IF(TRIM(D18)="","",IFERROR(VALUE(D18),IFERROR((VALUE(LEFT(TRIM(D18),SEARCH(" o ",TRIM(D18))-1))+VALUE(LEFT(MID(TRIM(D18),SEARCH(" o ",TRIM(D18))+3,99),FIND(" ",MID(TRIM(D18),SEARCH(" o ",TRIM(D18))+3,99)&amp;" ")-1)))/2,IFERROR(VALUE(LEFT(TRIM(D18),FIND(" ",TRIM(D18)&amp;" ")-1)),""))))</f>
        <v/>
      </c>
    </row>
    <row r="19">
      <c r="A19" s="3" t="n"/>
      <c r="B19" s="4" t="n"/>
      <c r="C19" s="4" t="n"/>
      <c r="D19" s="4" t="n"/>
      <c r="E19" s="4" t="n"/>
      <c r="G19" s="5">
        <f>IF(TRIM(B19)="","",IFERROR(VALUE(B19),IFERROR((VALUE(LEFT(TRIM(B19),SEARCH(" o ",TRIM(B19))-1))+VALUE(LEFT(MID(TRIM(B19),SEARCH(" o ",TRIM(B19))+3,99),FIND(" ",MID(TRIM(B19),SEARCH(" o ",TRIM(B19))+3,99)&amp;" ")-1)))/2,IFERROR(VALUE(LEFT(TRIM(B19),FIND(" ",TRIM(B19)&amp;" ")-1)),""))))</f>
        <v/>
      </c>
      <c r="H19" s="5">
        <f>IF(TRIM(C19)="","",IFERROR(VALUE(C19),IFERROR((VALUE(LEFT(TRIM(C19),SEARCH(" o ",TRIM(C19))-1))+VALUE(LEFT(MID(TRIM(C19),SEARCH(" o ",TRIM(C19))+3,99),FIND(" ",MID(TRIM(C19),SEARCH(" o ",TRIM(C19))+3,99)&amp;" ")-1)))/2,IFERROR(VALUE(LEFT(TRIM(C19),FIND(" ",TRIM(C19)&amp;" ")-1)),""))))</f>
        <v/>
      </c>
      <c r="I19" s="5">
        <f>IF(TRIM(D19)="","",IFERROR(VALUE(D19),IFERROR((VALUE(LEFT(TRIM(D19),SEARCH(" o ",TRIM(D19))-1))+VALUE(LEFT(MID(TRIM(D19),SEARCH(" o ",TRIM(D19))+3,99),FIND(" ",MID(TRIM(D19),SEARCH(" o ",TRIM(D19))+3,99)&amp;" ")-1)))/2,IFERROR(VALUE(LEFT(TRIM(D19),FIND(" ",TRIM(D19)&amp;" ")-1)),""))))</f>
        <v/>
      </c>
    </row>
    <row r="20">
      <c r="A20" s="3" t="n"/>
      <c r="B20" s="4" t="n"/>
      <c r="C20" s="4" t="n"/>
      <c r="D20" s="4" t="n"/>
      <c r="E20" s="4" t="n"/>
      <c r="G20" s="5">
        <f>IF(TRIM(B20)="","",IFERROR(VALUE(B20),IFERROR((VALUE(LEFT(TRIM(B20),SEARCH(" o ",TRIM(B20))-1))+VALUE(LEFT(MID(TRIM(B20),SEARCH(" o ",TRIM(B20))+3,99),FIND(" ",MID(TRIM(B20),SEARCH(" o ",TRIM(B20))+3,99)&amp;" ")-1)))/2,IFERROR(VALUE(LEFT(TRIM(B20),FIND(" ",TRIM(B20)&amp;" ")-1)),""))))</f>
        <v/>
      </c>
      <c r="H20" s="5">
        <f>IF(TRIM(C20)="","",IFERROR(VALUE(C20),IFERROR((VALUE(LEFT(TRIM(C20),SEARCH(" o ",TRIM(C20))-1))+VALUE(LEFT(MID(TRIM(C20),SEARCH(" o ",TRIM(C20))+3,99),FIND(" ",MID(TRIM(C20),SEARCH(" o ",TRIM(C20))+3,99)&amp;" ")-1)))/2,IFERROR(VALUE(LEFT(TRIM(C20),FIND(" ",TRIM(C20)&amp;" ")-1)),""))))</f>
        <v/>
      </c>
      <c r="I20" s="5">
        <f>IF(TRIM(D20)="","",IFERROR(VALUE(D20),IFERROR((VALUE(LEFT(TRIM(D20),SEARCH(" o ",TRIM(D20))-1))+VALUE(LEFT(MID(TRIM(D20),SEARCH(" o ",TRIM(D20))+3,99),FIND(" ",MID(TRIM(D20),SEARCH(" o ",TRIM(D20))+3,99)&amp;" ")-1)))/2,IFERROR(VALUE(LEFT(TRIM(D20),FIND(" ",TRIM(D20)&amp;" ")-1)),""))))</f>
        <v/>
      </c>
    </row>
    <row r="21">
      <c r="A21" s="3" t="n"/>
      <c r="B21" s="4" t="n"/>
      <c r="C21" s="4" t="n"/>
      <c r="D21" s="4" t="n"/>
      <c r="E21" s="4" t="n"/>
      <c r="G21" s="5">
        <f>IF(TRIM(B21)="","",IFERROR(VALUE(B21),IFERROR((VALUE(LEFT(TRIM(B21),SEARCH(" o ",TRIM(B21))-1))+VALUE(LEFT(MID(TRIM(B21),SEARCH(" o ",TRIM(B21))+3,99),FIND(" ",MID(TRIM(B21),SEARCH(" o ",TRIM(B21))+3,99)&amp;" ")-1)))/2,IFERROR(VALUE(LEFT(TRIM(B21),FIND(" ",TRIM(B21)&amp;" ")-1)),""))))</f>
        <v/>
      </c>
      <c r="H21" s="5">
        <f>IF(TRIM(C21)="","",IFERROR(VALUE(C21),IFERROR((VALUE(LEFT(TRIM(C21),SEARCH(" o ",TRIM(C21))-1))+VALUE(LEFT(MID(TRIM(C21),SEARCH(" o ",TRIM(C21))+3,99),FIND(" ",MID(TRIM(C21),SEARCH(" o ",TRIM(C21))+3,99)&amp;" ")-1)))/2,IFERROR(VALUE(LEFT(TRIM(C21),FIND(" ",TRIM(C21)&amp;" ")-1)),""))))</f>
        <v/>
      </c>
      <c r="I21" s="5">
        <f>IF(TRIM(D21)="","",IFERROR(VALUE(D21),IFERROR((VALUE(LEFT(TRIM(D21),SEARCH(" o ",TRIM(D21))-1))+VALUE(LEFT(MID(TRIM(D21),SEARCH(" o ",TRIM(D21))+3,99),FIND(" ",MID(TRIM(D21),SEARCH(" o ",TRIM(D21))+3,99)&amp;" ")-1)))/2,IFERROR(VALUE(LEFT(TRIM(D21),FIND(" ",TRIM(D21)&amp;" ")-1)),""))))</f>
        <v/>
      </c>
    </row>
    <row r="22">
      <c r="A22" s="3" t="n"/>
      <c r="B22" s="4" t="n"/>
      <c r="C22" s="4" t="n"/>
      <c r="D22" s="4" t="n"/>
      <c r="E22" s="4" t="n"/>
      <c r="G22" s="5">
        <f>IF(TRIM(B22)="","",IFERROR(VALUE(B22),IFERROR((VALUE(LEFT(TRIM(B22),SEARCH(" o ",TRIM(B22))-1))+VALUE(LEFT(MID(TRIM(B22),SEARCH(" o ",TRIM(B22))+3,99),FIND(" ",MID(TRIM(B22),SEARCH(" o ",TRIM(B22))+3,99)&amp;" ")-1)))/2,IFERROR(VALUE(LEFT(TRIM(B22),FIND(" ",TRIM(B22)&amp;" ")-1)),""))))</f>
        <v/>
      </c>
      <c r="H22" s="5">
        <f>IF(TRIM(C22)="","",IFERROR(VALUE(C22),IFERROR((VALUE(LEFT(TRIM(C22),SEARCH(" o ",TRIM(C22))-1))+VALUE(LEFT(MID(TRIM(C22),SEARCH(" o ",TRIM(C22))+3,99),FIND(" ",MID(TRIM(C22),SEARCH(" o ",TRIM(C22))+3,99)&amp;" ")-1)))/2,IFERROR(VALUE(LEFT(TRIM(C22),FIND(" ",TRIM(C22)&amp;" ")-1)),""))))</f>
        <v/>
      </c>
      <c r="I22" s="5">
        <f>IF(TRIM(D22)="","",IFERROR(VALUE(D22),IFERROR((VALUE(LEFT(TRIM(D22),SEARCH(" o ",TRIM(D22))-1))+VALUE(LEFT(MID(TRIM(D22),SEARCH(" o ",TRIM(D22))+3,99),FIND(" ",MID(TRIM(D22),SEARCH(" o ",TRIM(D22))+3,99)&amp;" ")-1)))/2,IFERROR(VALUE(LEFT(TRIM(D22),FIND(" ",TRIM(D22)&amp;" ")-1)),""))))</f>
        <v/>
      </c>
    </row>
    <row r="23">
      <c r="A23" s="3" t="n"/>
      <c r="B23" s="4" t="n"/>
      <c r="C23" s="4" t="n"/>
      <c r="D23" s="4" t="n"/>
      <c r="E23" s="4" t="n"/>
      <c r="G23" s="5">
        <f>IF(TRIM(B23)="","",IFERROR(VALUE(B23),IFERROR((VALUE(LEFT(TRIM(B23),SEARCH(" o ",TRIM(B23))-1))+VALUE(LEFT(MID(TRIM(B23),SEARCH(" o ",TRIM(B23))+3,99),FIND(" ",MID(TRIM(B23),SEARCH(" o ",TRIM(B23))+3,99)&amp;" ")-1)))/2,IFERROR(VALUE(LEFT(TRIM(B23),FIND(" ",TRIM(B23)&amp;" ")-1)),""))))</f>
        <v/>
      </c>
      <c r="H23" s="5">
        <f>IF(TRIM(C23)="","",IFERROR(VALUE(C23),IFERROR((VALUE(LEFT(TRIM(C23),SEARCH(" o ",TRIM(C23))-1))+VALUE(LEFT(MID(TRIM(C23),SEARCH(" o ",TRIM(C23))+3,99),FIND(" ",MID(TRIM(C23),SEARCH(" o ",TRIM(C23))+3,99)&amp;" ")-1)))/2,IFERROR(VALUE(LEFT(TRIM(C23),FIND(" ",TRIM(C23)&amp;" ")-1)),""))))</f>
        <v/>
      </c>
      <c r="I23" s="5">
        <f>IF(TRIM(D23)="","",IFERROR(VALUE(D23),IFERROR((VALUE(LEFT(TRIM(D23),SEARCH(" o ",TRIM(D23))-1))+VALUE(LEFT(MID(TRIM(D23),SEARCH(" o ",TRIM(D23))+3,99),FIND(" ",MID(TRIM(D23),SEARCH(" o ",TRIM(D23))+3,99)&amp;" ")-1)))/2,IFERROR(VALUE(LEFT(TRIM(D23),FIND(" ",TRIM(D23)&amp;" ")-1)),""))))</f>
        <v/>
      </c>
    </row>
    <row r="24">
      <c r="A24" s="3" t="n"/>
      <c r="B24" s="4" t="n"/>
      <c r="C24" s="4" t="n"/>
      <c r="D24" s="4" t="n"/>
      <c r="E24" s="4" t="n"/>
      <c r="G24" s="5">
        <f>IF(TRIM(B24)="","",IFERROR(VALUE(B24),IFERROR((VALUE(LEFT(TRIM(B24),SEARCH(" o ",TRIM(B24))-1))+VALUE(LEFT(MID(TRIM(B24),SEARCH(" o ",TRIM(B24))+3,99),FIND(" ",MID(TRIM(B24),SEARCH(" o ",TRIM(B24))+3,99)&amp;" ")-1)))/2,IFERROR(VALUE(LEFT(TRIM(B24),FIND(" ",TRIM(B24)&amp;" ")-1)),""))))</f>
        <v/>
      </c>
      <c r="H24" s="5">
        <f>IF(TRIM(C24)="","",IFERROR(VALUE(C24),IFERROR((VALUE(LEFT(TRIM(C24),SEARCH(" o ",TRIM(C24))-1))+VALUE(LEFT(MID(TRIM(C24),SEARCH(" o ",TRIM(C24))+3,99),FIND(" ",MID(TRIM(C24),SEARCH(" o ",TRIM(C24))+3,99)&amp;" ")-1)))/2,IFERROR(VALUE(LEFT(TRIM(C24),FIND(" ",TRIM(C24)&amp;" ")-1)),""))))</f>
        <v/>
      </c>
      <c r="I24" s="5">
        <f>IF(TRIM(D24)="","",IFERROR(VALUE(D24),IFERROR((VALUE(LEFT(TRIM(D24),SEARCH(" o ",TRIM(D24))-1))+VALUE(LEFT(MID(TRIM(D24),SEARCH(" o ",TRIM(D24))+3,99),FIND(" ",MID(TRIM(D24),SEARCH(" o ",TRIM(D24))+3,99)&amp;" ")-1)))/2,IFERROR(VALUE(LEFT(TRIM(D24),FIND(" ",TRIM(D24)&amp;" ")-1)),""))))</f>
        <v/>
      </c>
    </row>
    <row r="25">
      <c r="A25" s="3" t="n"/>
      <c r="B25" s="4" t="n"/>
      <c r="C25" s="4" t="n"/>
      <c r="D25" s="4" t="n"/>
      <c r="E25" s="4" t="n"/>
      <c r="G25" s="5">
        <f>IF(TRIM(B25)="","",IFERROR(VALUE(B25),IFERROR((VALUE(LEFT(TRIM(B25),SEARCH(" o ",TRIM(B25))-1))+VALUE(LEFT(MID(TRIM(B25),SEARCH(" o ",TRIM(B25))+3,99),FIND(" ",MID(TRIM(B25),SEARCH(" o ",TRIM(B25))+3,99)&amp;" ")-1)))/2,IFERROR(VALUE(LEFT(TRIM(B25),FIND(" ",TRIM(B25)&amp;" ")-1)),""))))</f>
        <v/>
      </c>
      <c r="H25" s="5">
        <f>IF(TRIM(C25)="","",IFERROR(VALUE(C25),IFERROR((VALUE(LEFT(TRIM(C25),SEARCH(" o ",TRIM(C25))-1))+VALUE(LEFT(MID(TRIM(C25),SEARCH(" o ",TRIM(C25))+3,99),FIND(" ",MID(TRIM(C25),SEARCH(" o ",TRIM(C25))+3,99)&amp;" ")-1)))/2,IFERROR(VALUE(LEFT(TRIM(C25),FIND(" ",TRIM(C25)&amp;" ")-1)),""))))</f>
        <v/>
      </c>
      <c r="I25" s="5">
        <f>IF(TRIM(D25)="","",IFERROR(VALUE(D25),IFERROR((VALUE(LEFT(TRIM(D25),SEARCH(" o ",TRIM(D25))-1))+VALUE(LEFT(MID(TRIM(D25),SEARCH(" o ",TRIM(D25))+3,99),FIND(" ",MID(TRIM(D25),SEARCH(" o ",TRIM(D25))+3,99)&amp;" ")-1)))/2,IFERROR(VALUE(LEFT(TRIM(D25),FIND(" ",TRIM(D25)&amp;" ")-1)),""))))</f>
        <v/>
      </c>
    </row>
    <row r="26">
      <c r="A26" s="3" t="n"/>
      <c r="B26" s="4" t="n"/>
      <c r="C26" s="4" t="n"/>
      <c r="D26" s="4" t="n"/>
      <c r="E26" s="4" t="n"/>
      <c r="G26" s="5">
        <f>IF(TRIM(B26)="","",IFERROR(VALUE(B26),IFERROR((VALUE(LEFT(TRIM(B26),SEARCH(" o ",TRIM(B26))-1))+VALUE(LEFT(MID(TRIM(B26),SEARCH(" o ",TRIM(B26))+3,99),FIND(" ",MID(TRIM(B26),SEARCH(" o ",TRIM(B26))+3,99)&amp;" ")-1)))/2,IFERROR(VALUE(LEFT(TRIM(B26),FIND(" ",TRIM(B26)&amp;" ")-1)),""))))</f>
        <v/>
      </c>
      <c r="H26" s="5">
        <f>IF(TRIM(C26)="","",IFERROR(VALUE(C26),IFERROR((VALUE(LEFT(TRIM(C26),SEARCH(" o ",TRIM(C26))-1))+VALUE(LEFT(MID(TRIM(C26),SEARCH(" o ",TRIM(C26))+3,99),FIND(" ",MID(TRIM(C26),SEARCH(" o ",TRIM(C26))+3,99)&amp;" ")-1)))/2,IFERROR(VALUE(LEFT(TRIM(C26),FIND(" ",TRIM(C26)&amp;" ")-1)),""))))</f>
        <v/>
      </c>
      <c r="I26" s="5">
        <f>IF(TRIM(D26)="","",IFERROR(VALUE(D26),IFERROR((VALUE(LEFT(TRIM(D26),SEARCH(" o ",TRIM(D26))-1))+VALUE(LEFT(MID(TRIM(D26),SEARCH(" o ",TRIM(D26))+3,99),FIND(" ",MID(TRIM(D26),SEARCH(" o ",TRIM(D26))+3,99)&amp;" ")-1)))/2,IFERROR(VALUE(LEFT(TRIM(D26),FIND(" ",TRIM(D26)&amp;" ")-1)),""))))</f>
        <v/>
      </c>
    </row>
    <row r="27">
      <c r="A27" s="3" t="n"/>
      <c r="B27" s="4" t="n"/>
      <c r="C27" s="4" t="n"/>
      <c r="D27" s="4" t="n"/>
      <c r="E27" s="4" t="n"/>
      <c r="G27" s="5">
        <f>IF(TRIM(B27)="","",IFERROR(VALUE(B27),IFERROR((VALUE(LEFT(TRIM(B27),SEARCH(" o ",TRIM(B27))-1))+VALUE(LEFT(MID(TRIM(B27),SEARCH(" o ",TRIM(B27))+3,99),FIND(" ",MID(TRIM(B27),SEARCH(" o ",TRIM(B27))+3,99)&amp;" ")-1)))/2,IFERROR(VALUE(LEFT(TRIM(B27),FIND(" ",TRIM(B27)&amp;" ")-1)),""))))</f>
        <v/>
      </c>
      <c r="H27" s="5">
        <f>IF(TRIM(C27)="","",IFERROR(VALUE(C27),IFERROR((VALUE(LEFT(TRIM(C27),SEARCH(" o ",TRIM(C27))-1))+VALUE(LEFT(MID(TRIM(C27),SEARCH(" o ",TRIM(C27))+3,99),FIND(" ",MID(TRIM(C27),SEARCH(" o ",TRIM(C27))+3,99)&amp;" ")-1)))/2,IFERROR(VALUE(LEFT(TRIM(C27),FIND(" ",TRIM(C27)&amp;" ")-1)),""))))</f>
        <v/>
      </c>
      <c r="I27" s="5">
        <f>IF(TRIM(D27)="","",IFERROR(VALUE(D27),IFERROR((VALUE(LEFT(TRIM(D27),SEARCH(" o ",TRIM(D27))-1))+VALUE(LEFT(MID(TRIM(D27),SEARCH(" o ",TRIM(D27))+3,99),FIND(" ",MID(TRIM(D27),SEARCH(" o ",TRIM(D27))+3,99)&amp;" ")-1)))/2,IFERROR(VALUE(LEFT(TRIM(D27),FIND(" ",TRIM(D27)&amp;" ")-1)),""))))</f>
        <v/>
      </c>
    </row>
    <row r="28">
      <c r="A28" s="3" t="n"/>
      <c r="B28" s="4" t="n"/>
      <c r="C28" s="4" t="n"/>
      <c r="D28" s="4" t="n"/>
      <c r="E28" s="4" t="n"/>
      <c r="G28" s="5">
        <f>IF(TRIM(B28)="","",IFERROR(VALUE(B28),IFERROR((VALUE(LEFT(TRIM(B28),SEARCH(" o ",TRIM(B28))-1))+VALUE(LEFT(MID(TRIM(B28),SEARCH(" o ",TRIM(B28))+3,99),FIND(" ",MID(TRIM(B28),SEARCH(" o ",TRIM(B28))+3,99)&amp;" ")-1)))/2,IFERROR(VALUE(LEFT(TRIM(B28),FIND(" ",TRIM(B28)&amp;" ")-1)),""))))</f>
        <v/>
      </c>
      <c r="H28" s="5">
        <f>IF(TRIM(C28)="","",IFERROR(VALUE(C28),IFERROR((VALUE(LEFT(TRIM(C28),SEARCH(" o ",TRIM(C28))-1))+VALUE(LEFT(MID(TRIM(C28),SEARCH(" o ",TRIM(C28))+3,99),FIND(" ",MID(TRIM(C28),SEARCH(" o ",TRIM(C28))+3,99)&amp;" ")-1)))/2,IFERROR(VALUE(LEFT(TRIM(C28),FIND(" ",TRIM(C28)&amp;" ")-1)),""))))</f>
        <v/>
      </c>
      <c r="I28" s="5">
        <f>IF(TRIM(D28)="","",IFERROR(VALUE(D28),IFERROR((VALUE(LEFT(TRIM(D28),SEARCH(" o ",TRIM(D28))-1))+VALUE(LEFT(MID(TRIM(D28),SEARCH(" o ",TRIM(D28))+3,99),FIND(" ",MID(TRIM(D28),SEARCH(" o ",TRIM(D28))+3,99)&amp;" ")-1)))/2,IFERROR(VALUE(LEFT(TRIM(D28),FIND(" ",TRIM(D28)&amp;" ")-1)),""))))</f>
        <v/>
      </c>
    </row>
    <row r="29">
      <c r="A29" s="3" t="n"/>
      <c r="B29" s="4" t="n"/>
      <c r="C29" s="4" t="n"/>
      <c r="D29" s="4" t="n"/>
      <c r="E29" s="4" t="n"/>
      <c r="G29" s="5">
        <f>IF(TRIM(B29)="","",IFERROR(VALUE(B29),IFERROR((VALUE(LEFT(TRIM(B29),SEARCH(" o ",TRIM(B29))-1))+VALUE(LEFT(MID(TRIM(B29),SEARCH(" o ",TRIM(B29))+3,99),FIND(" ",MID(TRIM(B29),SEARCH(" o ",TRIM(B29))+3,99)&amp;" ")-1)))/2,IFERROR(VALUE(LEFT(TRIM(B29),FIND(" ",TRIM(B29)&amp;" ")-1)),""))))</f>
        <v/>
      </c>
      <c r="H29" s="5">
        <f>IF(TRIM(C29)="","",IFERROR(VALUE(C29),IFERROR((VALUE(LEFT(TRIM(C29),SEARCH(" o ",TRIM(C29))-1))+VALUE(LEFT(MID(TRIM(C29),SEARCH(" o ",TRIM(C29))+3,99),FIND(" ",MID(TRIM(C29),SEARCH(" o ",TRIM(C29))+3,99)&amp;" ")-1)))/2,IFERROR(VALUE(LEFT(TRIM(C29),FIND(" ",TRIM(C29)&amp;" ")-1)),""))))</f>
        <v/>
      </c>
      <c r="I29" s="5">
        <f>IF(TRIM(D29)="","",IFERROR(VALUE(D29),IFERROR((VALUE(LEFT(TRIM(D29),SEARCH(" o ",TRIM(D29))-1))+VALUE(LEFT(MID(TRIM(D29),SEARCH(" o ",TRIM(D29))+3,99),FIND(" ",MID(TRIM(D29),SEARCH(" o ",TRIM(D29))+3,99)&amp;" ")-1)))/2,IFERROR(VALUE(LEFT(TRIM(D29),FIND(" ",TRIM(D29)&amp;" ")-1)),""))))</f>
        <v/>
      </c>
    </row>
    <row r="30">
      <c r="A30" s="3" t="n"/>
      <c r="B30" s="4" t="n"/>
      <c r="C30" s="4" t="n"/>
      <c r="D30" s="4" t="n"/>
      <c r="E30" s="4" t="n"/>
      <c r="G30" s="5">
        <f>IF(TRIM(B30)="","",IFERROR(VALUE(B30),IFERROR((VALUE(LEFT(TRIM(B30),SEARCH(" o ",TRIM(B30))-1))+VALUE(LEFT(MID(TRIM(B30),SEARCH(" o ",TRIM(B30))+3,99),FIND(" ",MID(TRIM(B30),SEARCH(" o ",TRIM(B30))+3,99)&amp;" ")-1)))/2,IFERROR(VALUE(LEFT(TRIM(B30),FIND(" ",TRIM(B30)&amp;" ")-1)),""))))</f>
        <v/>
      </c>
      <c r="H30" s="5">
        <f>IF(TRIM(C30)="","",IFERROR(VALUE(C30),IFERROR((VALUE(LEFT(TRIM(C30),SEARCH(" o ",TRIM(C30))-1))+VALUE(LEFT(MID(TRIM(C30),SEARCH(" o ",TRIM(C30))+3,99),FIND(" ",MID(TRIM(C30),SEARCH(" o ",TRIM(C30))+3,99)&amp;" ")-1)))/2,IFERROR(VALUE(LEFT(TRIM(C30),FIND(" ",TRIM(C30)&amp;" ")-1)),""))))</f>
        <v/>
      </c>
      <c r="I30" s="5">
        <f>IF(TRIM(D30)="","",IFERROR(VALUE(D30),IFERROR((VALUE(LEFT(TRIM(D30),SEARCH(" o ",TRIM(D30))-1))+VALUE(LEFT(MID(TRIM(D30),SEARCH(" o ",TRIM(D30))+3,99),FIND(" ",MID(TRIM(D30),SEARCH(" o ",TRIM(D30))+3,99)&amp;" ")-1)))/2,IFERROR(VALUE(LEFT(TRIM(D30),FIND(" ",TRIM(D30)&amp;" ")-1)),""))))</f>
        <v/>
      </c>
    </row>
    <row r="31">
      <c r="A31" s="3" t="n"/>
      <c r="B31" s="4" t="n"/>
      <c r="C31" s="4" t="n"/>
      <c r="D31" s="4" t="n"/>
      <c r="E31" s="4" t="n"/>
      <c r="G31" s="5">
        <f>IF(TRIM(B31)="","",IFERROR(VALUE(B31),IFERROR((VALUE(LEFT(TRIM(B31),SEARCH(" o ",TRIM(B31))-1))+VALUE(LEFT(MID(TRIM(B31),SEARCH(" o ",TRIM(B31))+3,99),FIND(" ",MID(TRIM(B31),SEARCH(" o ",TRIM(B31))+3,99)&amp;" ")-1)))/2,IFERROR(VALUE(LEFT(TRIM(B31),FIND(" ",TRIM(B31)&amp;" ")-1)),""))))</f>
        <v/>
      </c>
      <c r="H31" s="5">
        <f>IF(TRIM(C31)="","",IFERROR(VALUE(C31),IFERROR((VALUE(LEFT(TRIM(C31),SEARCH(" o ",TRIM(C31))-1))+VALUE(LEFT(MID(TRIM(C31),SEARCH(" o ",TRIM(C31))+3,99),FIND(" ",MID(TRIM(C31),SEARCH(" o ",TRIM(C31))+3,99)&amp;" ")-1)))/2,IFERROR(VALUE(LEFT(TRIM(C31),FIND(" ",TRIM(C31)&amp;" ")-1)),""))))</f>
        <v/>
      </c>
      <c r="I31" s="5">
        <f>IF(TRIM(D31)="","",IFERROR(VALUE(D31),IFERROR((VALUE(LEFT(TRIM(D31),SEARCH(" o ",TRIM(D31))-1))+VALUE(LEFT(MID(TRIM(D31),SEARCH(" o ",TRIM(D31))+3,99),FIND(" ",MID(TRIM(D31),SEARCH(" o ",TRIM(D31))+3,99)&amp;" ")-1)))/2,IFERROR(VALUE(LEFT(TRIM(D31),FIND(" ",TRIM(D31)&amp;" ")-1)),""))))</f>
        <v/>
      </c>
    </row>
    <row r="32">
      <c r="A32" s="3" t="n"/>
      <c r="B32" s="4" t="n"/>
      <c r="C32" s="4" t="n"/>
      <c r="D32" s="4" t="n"/>
      <c r="E32" s="4" t="n"/>
      <c r="G32" s="5">
        <f>IF(TRIM(B32)="","",IFERROR(VALUE(B32),IFERROR((VALUE(LEFT(TRIM(B32),SEARCH(" o ",TRIM(B32))-1))+VALUE(LEFT(MID(TRIM(B32),SEARCH(" o ",TRIM(B32))+3,99),FIND(" ",MID(TRIM(B32),SEARCH(" o ",TRIM(B32))+3,99)&amp;" ")-1)))/2,IFERROR(VALUE(LEFT(TRIM(B32),FIND(" ",TRIM(B32)&amp;" ")-1)),""))))</f>
        <v/>
      </c>
      <c r="H32" s="5">
        <f>IF(TRIM(C32)="","",IFERROR(VALUE(C32),IFERROR((VALUE(LEFT(TRIM(C32),SEARCH(" o ",TRIM(C32))-1))+VALUE(LEFT(MID(TRIM(C32),SEARCH(" o ",TRIM(C32))+3,99),FIND(" ",MID(TRIM(C32),SEARCH(" o ",TRIM(C32))+3,99)&amp;" ")-1)))/2,IFERROR(VALUE(LEFT(TRIM(C32),FIND(" ",TRIM(C32)&amp;" ")-1)),""))))</f>
        <v/>
      </c>
      <c r="I32" s="5">
        <f>IF(TRIM(D32)="","",IFERROR(VALUE(D32),IFERROR((VALUE(LEFT(TRIM(D32),SEARCH(" o ",TRIM(D32))-1))+VALUE(LEFT(MID(TRIM(D32),SEARCH(" o ",TRIM(D32))+3,99),FIND(" ",MID(TRIM(D32),SEARCH(" o ",TRIM(D32))+3,99)&amp;" ")-1)))/2,IFERROR(VALUE(LEFT(TRIM(D32),FIND(" ",TRIM(D32)&amp;" ")-1)),""))))</f>
        <v/>
      </c>
    </row>
    <row r="33">
      <c r="A33" s="3" t="n"/>
      <c r="B33" s="4" t="n"/>
      <c r="C33" s="4" t="n"/>
      <c r="D33" s="4" t="n"/>
      <c r="E33" s="4" t="n"/>
      <c r="G33" s="5">
        <f>IF(TRIM(B33)="","",IFERROR(VALUE(B33),IFERROR((VALUE(LEFT(TRIM(B33),SEARCH(" o ",TRIM(B33))-1))+VALUE(LEFT(MID(TRIM(B33),SEARCH(" o ",TRIM(B33))+3,99),FIND(" ",MID(TRIM(B33),SEARCH(" o ",TRIM(B33))+3,99)&amp;" ")-1)))/2,IFERROR(VALUE(LEFT(TRIM(B33),FIND(" ",TRIM(B33)&amp;" ")-1)),""))))</f>
        <v/>
      </c>
      <c r="H33" s="5">
        <f>IF(TRIM(C33)="","",IFERROR(VALUE(C33),IFERROR((VALUE(LEFT(TRIM(C33),SEARCH(" o ",TRIM(C33))-1))+VALUE(LEFT(MID(TRIM(C33),SEARCH(" o ",TRIM(C33))+3,99),FIND(" ",MID(TRIM(C33),SEARCH(" o ",TRIM(C33))+3,99)&amp;" ")-1)))/2,IFERROR(VALUE(LEFT(TRIM(C33),FIND(" ",TRIM(C33)&amp;" ")-1)),""))))</f>
        <v/>
      </c>
      <c r="I33" s="5">
        <f>IF(TRIM(D33)="","",IFERROR(VALUE(D33),IFERROR((VALUE(LEFT(TRIM(D33),SEARCH(" o ",TRIM(D33))-1))+VALUE(LEFT(MID(TRIM(D33),SEARCH(" o ",TRIM(D33))+3,99),FIND(" ",MID(TRIM(D33),SEARCH(" o ",TRIM(D33))+3,99)&amp;" ")-1)))/2,IFERROR(VALUE(LEFT(TRIM(D33),FIND(" ",TRIM(D33)&amp;" ")-1)),""))))</f>
        <v/>
      </c>
    </row>
    <row r="34">
      <c r="A34" s="3" t="n"/>
      <c r="B34" s="4" t="n"/>
      <c r="C34" s="4" t="n"/>
      <c r="D34" s="4" t="n"/>
      <c r="E34" s="4" t="n"/>
      <c r="G34" s="5">
        <f>IF(TRIM(B34)="","",IFERROR(VALUE(B34),IFERROR((VALUE(LEFT(TRIM(B34),SEARCH(" o ",TRIM(B34))-1))+VALUE(LEFT(MID(TRIM(B34),SEARCH(" o ",TRIM(B34))+3,99),FIND(" ",MID(TRIM(B34),SEARCH(" o ",TRIM(B34))+3,99)&amp;" ")-1)))/2,IFERROR(VALUE(LEFT(TRIM(B34),FIND(" ",TRIM(B34)&amp;" ")-1)),""))))</f>
        <v/>
      </c>
      <c r="H34" s="5">
        <f>IF(TRIM(C34)="","",IFERROR(VALUE(C34),IFERROR((VALUE(LEFT(TRIM(C34),SEARCH(" o ",TRIM(C34))-1))+VALUE(LEFT(MID(TRIM(C34),SEARCH(" o ",TRIM(C34))+3,99),FIND(" ",MID(TRIM(C34),SEARCH(" o ",TRIM(C34))+3,99)&amp;" ")-1)))/2,IFERROR(VALUE(LEFT(TRIM(C34),FIND(" ",TRIM(C34)&amp;" ")-1)),""))))</f>
        <v/>
      </c>
      <c r="I34" s="5">
        <f>IF(TRIM(D34)="","",IFERROR(VALUE(D34),IFERROR((VALUE(LEFT(TRIM(D34),SEARCH(" o ",TRIM(D34))-1))+VALUE(LEFT(MID(TRIM(D34),SEARCH(" o ",TRIM(D34))+3,99),FIND(" ",MID(TRIM(D34),SEARCH(" o ",TRIM(D34))+3,99)&amp;" ")-1)))/2,IFERROR(VALUE(LEFT(TRIM(D34),FIND(" ",TRIM(D34)&amp;" ")-1)),""))))</f>
        <v/>
      </c>
    </row>
    <row r="35">
      <c r="A35" s="3" t="n"/>
      <c r="B35" s="4" t="n"/>
      <c r="C35" s="4" t="n"/>
      <c r="D35" s="4" t="n"/>
      <c r="E35" s="4" t="n"/>
      <c r="G35" s="5">
        <f>IF(TRIM(B35)="","",IFERROR(VALUE(B35),IFERROR((VALUE(LEFT(TRIM(B35),SEARCH(" o ",TRIM(B35))-1))+VALUE(LEFT(MID(TRIM(B35),SEARCH(" o ",TRIM(B35))+3,99),FIND(" ",MID(TRIM(B35),SEARCH(" o ",TRIM(B35))+3,99)&amp;" ")-1)))/2,IFERROR(VALUE(LEFT(TRIM(B35),FIND(" ",TRIM(B35)&amp;" ")-1)),""))))</f>
        <v/>
      </c>
      <c r="H35" s="5">
        <f>IF(TRIM(C35)="","",IFERROR(VALUE(C35),IFERROR((VALUE(LEFT(TRIM(C35),SEARCH(" o ",TRIM(C35))-1))+VALUE(LEFT(MID(TRIM(C35),SEARCH(" o ",TRIM(C35))+3,99),FIND(" ",MID(TRIM(C35),SEARCH(" o ",TRIM(C35))+3,99)&amp;" ")-1)))/2,IFERROR(VALUE(LEFT(TRIM(C35),FIND(" ",TRIM(C35)&amp;" ")-1)),""))))</f>
        <v/>
      </c>
      <c r="I35" s="5">
        <f>IF(TRIM(D35)="","",IFERROR(VALUE(D35),IFERROR((VALUE(LEFT(TRIM(D35),SEARCH(" o ",TRIM(D35))-1))+VALUE(LEFT(MID(TRIM(D35),SEARCH(" o ",TRIM(D35))+3,99),FIND(" ",MID(TRIM(D35),SEARCH(" o ",TRIM(D35))+3,99)&amp;" ")-1)))/2,IFERROR(VALUE(LEFT(TRIM(D35),FIND(" ",TRIM(D35)&amp;" ")-1)),""))))</f>
        <v/>
      </c>
    </row>
    <row r="36">
      <c r="A36" s="3" t="n"/>
      <c r="B36" s="4" t="n"/>
      <c r="C36" s="4" t="n"/>
      <c r="D36" s="4" t="n"/>
      <c r="E36" s="4" t="n"/>
      <c r="G36" s="5">
        <f>IF(TRIM(B36)="","",IFERROR(VALUE(B36),IFERROR((VALUE(LEFT(TRIM(B36),SEARCH(" o ",TRIM(B36))-1))+VALUE(LEFT(MID(TRIM(B36),SEARCH(" o ",TRIM(B36))+3,99),FIND(" ",MID(TRIM(B36),SEARCH(" o ",TRIM(B36))+3,99)&amp;" ")-1)))/2,IFERROR(VALUE(LEFT(TRIM(B36),FIND(" ",TRIM(B36)&amp;" ")-1)),""))))</f>
        <v/>
      </c>
      <c r="H36" s="5">
        <f>IF(TRIM(C36)="","",IFERROR(VALUE(C36),IFERROR((VALUE(LEFT(TRIM(C36),SEARCH(" o ",TRIM(C36))-1))+VALUE(LEFT(MID(TRIM(C36),SEARCH(" o ",TRIM(C36))+3,99),FIND(" ",MID(TRIM(C36),SEARCH(" o ",TRIM(C36))+3,99)&amp;" ")-1)))/2,IFERROR(VALUE(LEFT(TRIM(C36),FIND(" ",TRIM(C36)&amp;" ")-1)),""))))</f>
        <v/>
      </c>
      <c r="I36" s="5">
        <f>IF(TRIM(D36)="","",IFERROR(VALUE(D36),IFERROR((VALUE(LEFT(TRIM(D36),SEARCH(" o ",TRIM(D36))-1))+VALUE(LEFT(MID(TRIM(D36),SEARCH(" o ",TRIM(D36))+3,99),FIND(" ",MID(TRIM(D36),SEARCH(" o ",TRIM(D36))+3,99)&amp;" ")-1)))/2,IFERROR(VALUE(LEFT(TRIM(D36),FIND(" ",TRIM(D36)&amp;" ")-1)),""))))</f>
        <v/>
      </c>
    </row>
    <row r="37">
      <c r="A37" s="3" t="n"/>
      <c r="B37" s="4" t="n"/>
      <c r="C37" s="4" t="n"/>
      <c r="D37" s="4" t="n"/>
      <c r="E37" s="4" t="n"/>
      <c r="G37" s="5">
        <f>IF(TRIM(B37)="","",IFERROR(VALUE(B37),IFERROR((VALUE(LEFT(TRIM(B37),SEARCH(" o ",TRIM(B37))-1))+VALUE(LEFT(MID(TRIM(B37),SEARCH(" o ",TRIM(B37))+3,99),FIND(" ",MID(TRIM(B37),SEARCH(" o ",TRIM(B37))+3,99)&amp;" ")-1)))/2,IFERROR(VALUE(LEFT(TRIM(B37),FIND(" ",TRIM(B37)&amp;" ")-1)),""))))</f>
        <v/>
      </c>
      <c r="H37" s="5">
        <f>IF(TRIM(C37)="","",IFERROR(VALUE(C37),IFERROR((VALUE(LEFT(TRIM(C37),SEARCH(" o ",TRIM(C37))-1))+VALUE(LEFT(MID(TRIM(C37),SEARCH(" o ",TRIM(C37))+3,99),FIND(" ",MID(TRIM(C37),SEARCH(" o ",TRIM(C37))+3,99)&amp;" ")-1)))/2,IFERROR(VALUE(LEFT(TRIM(C37),FIND(" ",TRIM(C37)&amp;" ")-1)),""))))</f>
        <v/>
      </c>
      <c r="I37" s="5">
        <f>IF(TRIM(D37)="","",IFERROR(VALUE(D37),IFERROR((VALUE(LEFT(TRIM(D37),SEARCH(" o ",TRIM(D37))-1))+VALUE(LEFT(MID(TRIM(D37),SEARCH(" o ",TRIM(D37))+3,99),FIND(" ",MID(TRIM(D37),SEARCH(" o ",TRIM(D37))+3,99)&amp;" ")-1)))/2,IFERROR(VALUE(LEFT(TRIM(D37),FIND(" ",TRIM(D37)&amp;" ")-1)),""))))</f>
        <v/>
      </c>
    </row>
    <row r="38">
      <c r="A38" s="3" t="n"/>
      <c r="B38" s="4" t="n"/>
      <c r="C38" s="4" t="n"/>
      <c r="D38" s="4" t="n"/>
      <c r="E38" s="4" t="n"/>
      <c r="G38" s="5">
        <f>IF(TRIM(B38)="","",IFERROR(VALUE(B38),IFERROR((VALUE(LEFT(TRIM(B38),SEARCH(" o ",TRIM(B38))-1))+VALUE(LEFT(MID(TRIM(B38),SEARCH(" o ",TRIM(B38))+3,99),FIND(" ",MID(TRIM(B38),SEARCH(" o ",TRIM(B38))+3,99)&amp;" ")-1)))/2,IFERROR(VALUE(LEFT(TRIM(B38),FIND(" ",TRIM(B38)&amp;" ")-1)),""))))</f>
        <v/>
      </c>
      <c r="H38" s="5">
        <f>IF(TRIM(C38)="","",IFERROR(VALUE(C38),IFERROR((VALUE(LEFT(TRIM(C38),SEARCH(" o ",TRIM(C38))-1))+VALUE(LEFT(MID(TRIM(C38),SEARCH(" o ",TRIM(C38))+3,99),FIND(" ",MID(TRIM(C38),SEARCH(" o ",TRIM(C38))+3,99)&amp;" ")-1)))/2,IFERROR(VALUE(LEFT(TRIM(C38),FIND(" ",TRIM(C38)&amp;" ")-1)),""))))</f>
        <v/>
      </c>
      <c r="I38" s="5">
        <f>IF(TRIM(D38)="","",IFERROR(VALUE(D38),IFERROR((VALUE(LEFT(TRIM(D38),SEARCH(" o ",TRIM(D38))-1))+VALUE(LEFT(MID(TRIM(D38),SEARCH(" o ",TRIM(D38))+3,99),FIND(" ",MID(TRIM(D38),SEARCH(" o ",TRIM(D38))+3,99)&amp;" ")-1)))/2,IFERROR(VALUE(LEFT(TRIM(D38),FIND(" ",TRIM(D38)&amp;" ")-1)),""))))</f>
        <v/>
      </c>
    </row>
    <row r="39">
      <c r="A39" s="3" t="n"/>
      <c r="B39" s="4" t="n"/>
      <c r="C39" s="4" t="n"/>
      <c r="D39" s="4" t="n"/>
      <c r="E39" s="4" t="n"/>
      <c r="G39" s="5">
        <f>IF(TRIM(B39)="","",IFERROR(VALUE(B39),IFERROR((VALUE(LEFT(TRIM(B39),SEARCH(" o ",TRIM(B39))-1))+VALUE(LEFT(MID(TRIM(B39),SEARCH(" o ",TRIM(B39))+3,99),FIND(" ",MID(TRIM(B39),SEARCH(" o ",TRIM(B39))+3,99)&amp;" ")-1)))/2,IFERROR(VALUE(LEFT(TRIM(B39),FIND(" ",TRIM(B39)&amp;" ")-1)),""))))</f>
        <v/>
      </c>
      <c r="H39" s="5">
        <f>IF(TRIM(C39)="","",IFERROR(VALUE(C39),IFERROR((VALUE(LEFT(TRIM(C39),SEARCH(" o ",TRIM(C39))-1))+VALUE(LEFT(MID(TRIM(C39),SEARCH(" o ",TRIM(C39))+3,99),FIND(" ",MID(TRIM(C39),SEARCH(" o ",TRIM(C39))+3,99)&amp;" ")-1)))/2,IFERROR(VALUE(LEFT(TRIM(C39),FIND(" ",TRIM(C39)&amp;" ")-1)),""))))</f>
        <v/>
      </c>
      <c r="I39" s="5">
        <f>IF(TRIM(D39)="","",IFERROR(VALUE(D39),IFERROR((VALUE(LEFT(TRIM(D39),SEARCH(" o ",TRIM(D39))-1))+VALUE(LEFT(MID(TRIM(D39),SEARCH(" o ",TRIM(D39))+3,99),FIND(" ",MID(TRIM(D39),SEARCH(" o ",TRIM(D39))+3,99)&amp;" ")-1)))/2,IFERROR(VALUE(LEFT(TRIM(D39),FIND(" ",TRIM(D39)&amp;" ")-1)),""))))</f>
        <v/>
      </c>
    </row>
    <row r="40">
      <c r="A40" s="3" t="n"/>
      <c r="B40" s="4" t="n"/>
      <c r="C40" s="4" t="n"/>
      <c r="D40" s="4" t="n"/>
      <c r="E40" s="4" t="n"/>
      <c r="G40" s="5">
        <f>IF(TRIM(B40)="","",IFERROR(VALUE(B40),IFERROR((VALUE(LEFT(TRIM(B40),SEARCH(" o ",TRIM(B40))-1))+VALUE(LEFT(MID(TRIM(B40),SEARCH(" o ",TRIM(B40))+3,99),FIND(" ",MID(TRIM(B40),SEARCH(" o ",TRIM(B40))+3,99)&amp;" ")-1)))/2,IFERROR(VALUE(LEFT(TRIM(B40),FIND(" ",TRIM(B40)&amp;" ")-1)),""))))</f>
        <v/>
      </c>
      <c r="H40" s="5">
        <f>IF(TRIM(C40)="","",IFERROR(VALUE(C40),IFERROR((VALUE(LEFT(TRIM(C40),SEARCH(" o ",TRIM(C40))-1))+VALUE(LEFT(MID(TRIM(C40),SEARCH(" o ",TRIM(C40))+3,99),FIND(" ",MID(TRIM(C40),SEARCH(" o ",TRIM(C40))+3,99)&amp;" ")-1)))/2,IFERROR(VALUE(LEFT(TRIM(C40),FIND(" ",TRIM(C40)&amp;" ")-1)),""))))</f>
        <v/>
      </c>
      <c r="I40" s="5">
        <f>IF(TRIM(D40)="","",IFERROR(VALUE(D40),IFERROR((VALUE(LEFT(TRIM(D40),SEARCH(" o ",TRIM(D40))-1))+VALUE(LEFT(MID(TRIM(D40),SEARCH(" o ",TRIM(D40))+3,99),FIND(" ",MID(TRIM(D40),SEARCH(" o ",TRIM(D40))+3,99)&amp;" ")-1)))/2,IFERROR(VALUE(LEFT(TRIM(D40),FIND(" ",TRIM(D40)&amp;" ")-1)),""))))</f>
        <v/>
      </c>
    </row>
    <row r="41">
      <c r="A41" s="3" t="n"/>
      <c r="B41" s="4" t="n"/>
      <c r="C41" s="4" t="n"/>
      <c r="D41" s="4" t="n"/>
      <c r="E41" s="4" t="n"/>
      <c r="G41" s="5">
        <f>IF(TRIM(B41)="","",IFERROR(VALUE(B41),IFERROR((VALUE(LEFT(TRIM(B41),SEARCH(" o ",TRIM(B41))-1))+VALUE(LEFT(MID(TRIM(B41),SEARCH(" o ",TRIM(B41))+3,99),FIND(" ",MID(TRIM(B41),SEARCH(" o ",TRIM(B41))+3,99)&amp;" ")-1)))/2,IFERROR(VALUE(LEFT(TRIM(B41),FIND(" ",TRIM(B41)&amp;" ")-1)),""))))</f>
        <v/>
      </c>
      <c r="H41" s="5">
        <f>IF(TRIM(C41)="","",IFERROR(VALUE(C41),IFERROR((VALUE(LEFT(TRIM(C41),SEARCH(" o ",TRIM(C41))-1))+VALUE(LEFT(MID(TRIM(C41),SEARCH(" o ",TRIM(C41))+3,99),FIND(" ",MID(TRIM(C41),SEARCH(" o ",TRIM(C41))+3,99)&amp;" ")-1)))/2,IFERROR(VALUE(LEFT(TRIM(C41),FIND(" ",TRIM(C41)&amp;" ")-1)),""))))</f>
        <v/>
      </c>
      <c r="I41" s="5">
        <f>IF(TRIM(D41)="","",IFERROR(VALUE(D41),IFERROR((VALUE(LEFT(TRIM(D41),SEARCH(" o ",TRIM(D41))-1))+VALUE(LEFT(MID(TRIM(D41),SEARCH(" o ",TRIM(D41))+3,99),FIND(" ",MID(TRIM(D41),SEARCH(" o ",TRIM(D41))+3,99)&amp;" ")-1)))/2,IFERROR(VALUE(LEFT(TRIM(D41),FIND(" ",TRIM(D41)&amp;" ")-1)),""))))</f>
        <v/>
      </c>
    </row>
    <row r="42">
      <c r="A42" s="6" t="n"/>
      <c r="B42" s="7" t="n"/>
      <c r="C42" s="7" t="n"/>
      <c r="D42" s="7" t="n"/>
      <c r="E42" s="7" t="n"/>
      <c r="G42" s="8">
        <f>IF(TRIM(B42)="","",IFERROR(VALUE(B42),IFERROR((VALUE(LEFT(TRIM(B42),SEARCH(" o ",TRIM(B42))-1))+VALUE(LEFT(MID(TRIM(B42),SEARCH(" o ",TRIM(B42))+3,99),FIND(" ",MID(TRIM(B42),SEARCH(" o ",TRIM(B42))+3,99)&amp;" ")-1)))/2,IFERROR(VALUE(LEFT(TRIM(B42),FIND(" ",TRIM(B42)&amp;" ")-1)),""))))</f>
        <v/>
      </c>
      <c r="H42" s="8">
        <f>IF(TRIM(C42)="","",IFERROR(VALUE(C42),IFERROR((VALUE(LEFT(TRIM(C42),SEARCH(" o ",TRIM(C42))-1))+VALUE(LEFT(MID(TRIM(C42),SEARCH(" o ",TRIM(C42))+3,99),FIND(" ",MID(TRIM(C42),SEARCH(" o ",TRIM(C42))+3,99)&amp;" ")-1)))/2,IFERROR(VALUE(LEFT(TRIM(C42),FIND(" ",TRIM(C42)&amp;" ")-1)),""))))</f>
        <v/>
      </c>
      <c r="I42" s="8">
        <f>IF(TRIM(D42)="","",IFERROR(VALUE(D42),IFERROR((VALUE(LEFT(TRIM(D42),SEARCH(" o ",TRIM(D42))-1))+VALUE(LEFT(MID(TRIM(D42),SEARCH(" o ",TRIM(D42))+3,99),FIND(" ",MID(TRIM(D42),SEARCH(" o ",TRIM(D42))+3,99)&amp;" ")-1)))/2,IFERROR(VALUE(LEFT(TRIM(D42),FIND(" ",TRIM(D42)&amp;" ")-1)),""))))</f>
        <v/>
      </c>
    </row>
    <row r="43">
      <c r="A43" s="6" t="n"/>
      <c r="B43" s="7" t="n"/>
      <c r="C43" s="7" t="n"/>
      <c r="D43" s="7" t="n"/>
      <c r="E43" s="7" t="n"/>
      <c r="G43" s="8">
        <f>IF(TRIM(B43)="","",IFERROR(VALUE(B43),IFERROR((VALUE(LEFT(TRIM(B43),SEARCH(" o ",TRIM(B43))-1))+VALUE(LEFT(MID(TRIM(B43),SEARCH(" o ",TRIM(B43))+3,99),FIND(" ",MID(TRIM(B43),SEARCH(" o ",TRIM(B43))+3,99)&amp;" ")-1)))/2,IFERROR(VALUE(LEFT(TRIM(B43),FIND(" ",TRIM(B43)&amp;" ")-1)),""))))</f>
        <v/>
      </c>
      <c r="H43" s="8">
        <f>IF(TRIM(C43)="","",IFERROR(VALUE(C43),IFERROR((VALUE(LEFT(TRIM(C43),SEARCH(" o ",TRIM(C43))-1))+VALUE(LEFT(MID(TRIM(C43),SEARCH(" o ",TRIM(C43))+3,99),FIND(" ",MID(TRIM(C43),SEARCH(" o ",TRIM(C43))+3,99)&amp;" ")-1)))/2,IFERROR(VALUE(LEFT(TRIM(C43),FIND(" ",TRIM(C43)&amp;" ")-1)),""))))</f>
        <v/>
      </c>
      <c r="I43" s="8">
        <f>IF(TRIM(D43)="","",IFERROR(VALUE(D43),IFERROR((VALUE(LEFT(TRIM(D43),SEARCH(" o ",TRIM(D43))-1))+VALUE(LEFT(MID(TRIM(D43),SEARCH(" o ",TRIM(D43))+3,99),FIND(" ",MID(TRIM(D43),SEARCH(" o ",TRIM(D43))+3,99)&amp;" ")-1)))/2,IFERROR(VALUE(LEFT(TRIM(D43),FIND(" ",TRIM(D43)&amp;" ")-1)),""))))</f>
        <v/>
      </c>
    </row>
    <row r="44">
      <c r="A44" s="6" t="n"/>
      <c r="B44" s="7" t="n"/>
      <c r="C44" s="7" t="n"/>
      <c r="D44" s="7" t="n"/>
      <c r="E44" s="7" t="n"/>
      <c r="G44" s="8">
        <f>IF(TRIM(B44)="","",IFERROR(VALUE(B44),IFERROR((VALUE(LEFT(TRIM(B44),SEARCH(" o ",TRIM(B44))-1))+VALUE(LEFT(MID(TRIM(B44),SEARCH(" o ",TRIM(B44))+3,99),FIND(" ",MID(TRIM(B44),SEARCH(" o ",TRIM(B44))+3,99)&amp;" ")-1)))/2,IFERROR(VALUE(LEFT(TRIM(B44),FIND(" ",TRIM(B44)&amp;" ")-1)),""))))</f>
        <v/>
      </c>
      <c r="H44" s="8">
        <f>IF(TRIM(C44)="","",IFERROR(VALUE(C44),IFERROR((VALUE(LEFT(TRIM(C44),SEARCH(" o ",TRIM(C44))-1))+VALUE(LEFT(MID(TRIM(C44),SEARCH(" o ",TRIM(C44))+3,99),FIND(" ",MID(TRIM(C44),SEARCH(" o ",TRIM(C44))+3,99)&amp;" ")-1)))/2,IFERROR(VALUE(LEFT(TRIM(C44),FIND(" ",TRIM(C44)&amp;" ")-1)),""))))</f>
        <v/>
      </c>
      <c r="I44" s="8">
        <f>IF(TRIM(D44)="","",IFERROR(VALUE(D44),IFERROR((VALUE(LEFT(TRIM(D44),SEARCH(" o ",TRIM(D44))-1))+VALUE(LEFT(MID(TRIM(D44),SEARCH(" o ",TRIM(D44))+3,99),FIND(" ",MID(TRIM(D44),SEARCH(" o ",TRIM(D44))+3,99)&amp;" ")-1)))/2,IFERROR(VALUE(LEFT(TRIM(D44),FIND(" ",TRIM(D44)&amp;" ")-1)),""))))</f>
        <v/>
      </c>
    </row>
    <row r="45">
      <c r="A45" s="6" t="n"/>
      <c r="B45" s="7" t="n"/>
      <c r="C45" s="7" t="n"/>
      <c r="D45" s="7" t="n"/>
      <c r="E45" s="7" t="n"/>
      <c r="G45" s="8">
        <f>IF(TRIM(B45)="","",IFERROR(VALUE(B45),IFERROR((VALUE(LEFT(TRIM(B45),SEARCH(" o ",TRIM(B45))-1))+VALUE(LEFT(MID(TRIM(B45),SEARCH(" o ",TRIM(B45))+3,99),FIND(" ",MID(TRIM(B45),SEARCH(" o ",TRIM(B45))+3,99)&amp;" ")-1)))/2,IFERROR(VALUE(LEFT(TRIM(B45),FIND(" ",TRIM(B45)&amp;" ")-1)),""))))</f>
        <v/>
      </c>
      <c r="H45" s="8">
        <f>IF(TRIM(C45)="","",IFERROR(VALUE(C45),IFERROR((VALUE(LEFT(TRIM(C45),SEARCH(" o ",TRIM(C45))-1))+VALUE(LEFT(MID(TRIM(C45),SEARCH(" o ",TRIM(C45))+3,99),FIND(" ",MID(TRIM(C45),SEARCH(" o ",TRIM(C45))+3,99)&amp;" ")-1)))/2,IFERROR(VALUE(LEFT(TRIM(C45),FIND(" ",TRIM(C45)&amp;" ")-1)),""))))</f>
        <v/>
      </c>
      <c r="I45" s="8">
        <f>IF(TRIM(D45)="","",IFERROR(VALUE(D45),IFERROR((VALUE(LEFT(TRIM(D45),SEARCH(" o ",TRIM(D45))-1))+VALUE(LEFT(MID(TRIM(D45),SEARCH(" o ",TRIM(D45))+3,99),FIND(" ",MID(TRIM(D45),SEARCH(" o ",TRIM(D45))+3,99)&amp;" ")-1)))/2,IFERROR(VALUE(LEFT(TRIM(D45),FIND(" ",TRIM(D45)&amp;" ")-1)),""))))</f>
        <v/>
      </c>
    </row>
    <row r="46">
      <c r="A46" s="6" t="n"/>
      <c r="B46" s="7" t="n"/>
      <c r="C46" s="7" t="n"/>
      <c r="D46" s="7" t="n"/>
      <c r="E46" s="7" t="n"/>
      <c r="G46" s="8">
        <f>IF(TRIM(B46)="","",IFERROR(VALUE(B46),IFERROR((VALUE(LEFT(TRIM(B46),SEARCH(" o ",TRIM(B46))-1))+VALUE(LEFT(MID(TRIM(B46),SEARCH(" o ",TRIM(B46))+3,99),FIND(" ",MID(TRIM(B46),SEARCH(" o ",TRIM(B46))+3,99)&amp;" ")-1)))/2,IFERROR(VALUE(LEFT(TRIM(B46),FIND(" ",TRIM(B46)&amp;" ")-1)),""))))</f>
        <v/>
      </c>
      <c r="H46" s="8">
        <f>IF(TRIM(C46)="","",IFERROR(VALUE(C46),IFERROR((VALUE(LEFT(TRIM(C46),SEARCH(" o ",TRIM(C46))-1))+VALUE(LEFT(MID(TRIM(C46),SEARCH(" o ",TRIM(C46))+3,99),FIND(" ",MID(TRIM(C46),SEARCH(" o ",TRIM(C46))+3,99)&amp;" ")-1)))/2,IFERROR(VALUE(LEFT(TRIM(C46),FIND(" ",TRIM(C46)&amp;" ")-1)),""))))</f>
        <v/>
      </c>
      <c r="I46" s="8">
        <f>IF(TRIM(D46)="","",IFERROR(VALUE(D46),IFERROR((VALUE(LEFT(TRIM(D46),SEARCH(" o ",TRIM(D46))-1))+VALUE(LEFT(MID(TRIM(D46),SEARCH(" o ",TRIM(D46))+3,99),FIND(" ",MID(TRIM(D46),SEARCH(" o ",TRIM(D46))+3,99)&amp;" ")-1)))/2,IFERROR(VALUE(LEFT(TRIM(D46),FIND(" ",TRIM(D46)&amp;" ")-1)),""))))</f>
        <v/>
      </c>
    </row>
    <row r="47">
      <c r="A47" s="6" t="n"/>
      <c r="B47" s="7" t="n"/>
      <c r="C47" s="7" t="n"/>
      <c r="D47" s="7" t="n"/>
      <c r="E47" s="7" t="n"/>
      <c r="G47" s="8">
        <f>IF(TRIM(B47)="","",IFERROR(VALUE(B47),IFERROR((VALUE(LEFT(TRIM(B47),SEARCH(" o ",TRIM(B47))-1))+VALUE(LEFT(MID(TRIM(B47),SEARCH(" o ",TRIM(B47))+3,99),FIND(" ",MID(TRIM(B47),SEARCH(" o ",TRIM(B47))+3,99)&amp;" ")-1)))/2,IFERROR(VALUE(LEFT(TRIM(B47),FIND(" ",TRIM(B47)&amp;" ")-1)),""))))</f>
        <v/>
      </c>
      <c r="H47" s="8">
        <f>IF(TRIM(C47)="","",IFERROR(VALUE(C47),IFERROR((VALUE(LEFT(TRIM(C47),SEARCH(" o ",TRIM(C47))-1))+VALUE(LEFT(MID(TRIM(C47),SEARCH(" o ",TRIM(C47))+3,99),FIND(" ",MID(TRIM(C47),SEARCH(" o ",TRIM(C47))+3,99)&amp;" ")-1)))/2,IFERROR(VALUE(LEFT(TRIM(C47),FIND(" ",TRIM(C47)&amp;" ")-1)),""))))</f>
        <v/>
      </c>
      <c r="I47" s="8">
        <f>IF(TRIM(D47)="","",IFERROR(VALUE(D47),IFERROR((VALUE(LEFT(TRIM(D47),SEARCH(" o ",TRIM(D47))-1))+VALUE(LEFT(MID(TRIM(D47),SEARCH(" o ",TRIM(D47))+3,99),FIND(" ",MID(TRIM(D47),SEARCH(" o ",TRIM(D47))+3,99)&amp;" ")-1)))/2,IFERROR(VALUE(LEFT(TRIM(D47),FIND(" ",TRIM(D47)&amp;" ")-1)),""))))</f>
        <v/>
      </c>
    </row>
    <row r="48">
      <c r="A48" s="6" t="n"/>
      <c r="B48" s="7" t="n"/>
      <c r="C48" s="7" t="n"/>
      <c r="D48" s="7" t="n"/>
      <c r="E48" s="7" t="n"/>
      <c r="G48" s="8">
        <f>IF(TRIM(B48)="","",IFERROR(VALUE(B48),IFERROR((VALUE(LEFT(TRIM(B48),SEARCH(" o ",TRIM(B48))-1))+VALUE(LEFT(MID(TRIM(B48),SEARCH(" o ",TRIM(B48))+3,99),FIND(" ",MID(TRIM(B48),SEARCH(" o ",TRIM(B48))+3,99)&amp;" ")-1)))/2,IFERROR(VALUE(LEFT(TRIM(B48),FIND(" ",TRIM(B48)&amp;" ")-1)),""))))</f>
        <v/>
      </c>
      <c r="H48" s="8">
        <f>IF(TRIM(C48)="","",IFERROR(VALUE(C48),IFERROR((VALUE(LEFT(TRIM(C48),SEARCH(" o ",TRIM(C48))-1))+VALUE(LEFT(MID(TRIM(C48),SEARCH(" o ",TRIM(C48))+3,99),FIND(" ",MID(TRIM(C48),SEARCH(" o ",TRIM(C48))+3,99)&amp;" ")-1)))/2,IFERROR(VALUE(LEFT(TRIM(C48),FIND(" ",TRIM(C48)&amp;" ")-1)),""))))</f>
        <v/>
      </c>
      <c r="I48" s="8">
        <f>IF(TRIM(D48)="","",IFERROR(VALUE(D48),IFERROR((VALUE(LEFT(TRIM(D48),SEARCH(" o ",TRIM(D48))-1))+VALUE(LEFT(MID(TRIM(D48),SEARCH(" o ",TRIM(D48))+3,99),FIND(" ",MID(TRIM(D48),SEARCH(" o ",TRIM(D48))+3,99)&amp;" ")-1)))/2,IFERROR(VALUE(LEFT(TRIM(D48),FIND(" ",TRIM(D48)&amp;" ")-1)),""))))</f>
        <v/>
      </c>
    </row>
    <row r="49">
      <c r="A49" s="6" t="n"/>
      <c r="B49" s="7" t="n"/>
      <c r="C49" s="7" t="n"/>
      <c r="D49" s="7" t="n"/>
      <c r="E49" s="7" t="n"/>
      <c r="G49" s="8">
        <f>IF(TRIM(B49)="","",IFERROR(VALUE(B49),IFERROR((VALUE(LEFT(TRIM(B49),SEARCH(" o ",TRIM(B49))-1))+VALUE(LEFT(MID(TRIM(B49),SEARCH(" o ",TRIM(B49))+3,99),FIND(" ",MID(TRIM(B49),SEARCH(" o ",TRIM(B49))+3,99)&amp;" ")-1)))/2,IFERROR(VALUE(LEFT(TRIM(B49),FIND(" ",TRIM(B49)&amp;" ")-1)),""))))</f>
        <v/>
      </c>
      <c r="H49" s="8">
        <f>IF(TRIM(C49)="","",IFERROR(VALUE(C49),IFERROR((VALUE(LEFT(TRIM(C49),SEARCH(" o ",TRIM(C49))-1))+VALUE(LEFT(MID(TRIM(C49),SEARCH(" o ",TRIM(C49))+3,99),FIND(" ",MID(TRIM(C49),SEARCH(" o ",TRIM(C49))+3,99)&amp;" ")-1)))/2,IFERROR(VALUE(LEFT(TRIM(C49),FIND(" ",TRIM(C49)&amp;" ")-1)),""))))</f>
        <v/>
      </c>
      <c r="I49" s="8">
        <f>IF(TRIM(D49)="","",IFERROR(VALUE(D49),IFERROR((VALUE(LEFT(TRIM(D49),SEARCH(" o ",TRIM(D49))-1))+VALUE(LEFT(MID(TRIM(D49),SEARCH(" o ",TRIM(D49))+3,99),FIND(" ",MID(TRIM(D49),SEARCH(" o ",TRIM(D49))+3,99)&amp;" ")-1)))/2,IFERROR(VALUE(LEFT(TRIM(D49),FIND(" ",TRIM(D49)&amp;" ")-1)),""))))</f>
        <v/>
      </c>
    </row>
    <row r="50">
      <c r="A50" s="6" t="n"/>
      <c r="B50" s="7" t="n"/>
      <c r="C50" s="7" t="n"/>
      <c r="D50" s="7" t="n"/>
      <c r="E50" s="7" t="n"/>
      <c r="G50" s="8">
        <f>IF(TRIM(B50)="","",IFERROR(VALUE(B50),IFERROR((VALUE(LEFT(TRIM(B50),SEARCH(" o ",TRIM(B50))-1))+VALUE(LEFT(MID(TRIM(B50),SEARCH(" o ",TRIM(B50))+3,99),FIND(" ",MID(TRIM(B50),SEARCH(" o ",TRIM(B50))+3,99)&amp;" ")-1)))/2,IFERROR(VALUE(LEFT(TRIM(B50),FIND(" ",TRIM(B50)&amp;" ")-1)),""))))</f>
        <v/>
      </c>
      <c r="H50" s="8">
        <f>IF(TRIM(C50)="","",IFERROR(VALUE(C50),IFERROR((VALUE(LEFT(TRIM(C50),SEARCH(" o ",TRIM(C50))-1))+VALUE(LEFT(MID(TRIM(C50),SEARCH(" o ",TRIM(C50))+3,99),FIND(" ",MID(TRIM(C50),SEARCH(" o ",TRIM(C50))+3,99)&amp;" ")-1)))/2,IFERROR(VALUE(LEFT(TRIM(C50),FIND(" ",TRIM(C50)&amp;" ")-1)),""))))</f>
        <v/>
      </c>
      <c r="I50" s="8">
        <f>IF(TRIM(D50)="","",IFERROR(VALUE(D50),IFERROR((VALUE(LEFT(TRIM(D50),SEARCH(" o ",TRIM(D50))-1))+VALUE(LEFT(MID(TRIM(D50),SEARCH(" o ",TRIM(D50))+3,99),FIND(" ",MID(TRIM(D50),SEARCH(" o ",TRIM(D50))+3,99)&amp;" ")-1)))/2,IFERROR(VALUE(LEFT(TRIM(D50),FIND(" ",TRIM(D50)&amp;" ")-1)),""))))</f>
        <v/>
      </c>
    </row>
    <row r="51">
      <c r="A51" s="6" t="n"/>
      <c r="B51" s="7" t="n"/>
      <c r="C51" s="7" t="n"/>
      <c r="D51" s="7" t="n"/>
      <c r="E51" s="7" t="n"/>
      <c r="G51" s="8">
        <f>IF(TRIM(B51)="","",IFERROR(VALUE(B51),IFERROR((VALUE(LEFT(TRIM(B51),SEARCH(" o ",TRIM(B51))-1))+VALUE(LEFT(MID(TRIM(B51),SEARCH(" o ",TRIM(B51))+3,99),FIND(" ",MID(TRIM(B51),SEARCH(" o ",TRIM(B51))+3,99)&amp;" ")-1)))/2,IFERROR(VALUE(LEFT(TRIM(B51),FIND(" ",TRIM(B51)&amp;" ")-1)),""))))</f>
        <v/>
      </c>
      <c r="H51" s="8">
        <f>IF(TRIM(C51)="","",IFERROR(VALUE(C51),IFERROR((VALUE(LEFT(TRIM(C51),SEARCH(" o ",TRIM(C51))-1))+VALUE(LEFT(MID(TRIM(C51),SEARCH(" o ",TRIM(C51))+3,99),FIND(" ",MID(TRIM(C51),SEARCH(" o ",TRIM(C51))+3,99)&amp;" ")-1)))/2,IFERROR(VALUE(LEFT(TRIM(C51),FIND(" ",TRIM(C51)&amp;" ")-1)),""))))</f>
        <v/>
      </c>
      <c r="I51" s="8">
        <f>IF(TRIM(D51)="","",IFERROR(VALUE(D51),IFERROR((VALUE(LEFT(TRIM(D51),SEARCH(" o ",TRIM(D51))-1))+VALUE(LEFT(MID(TRIM(D51),SEARCH(" o ",TRIM(D51))+3,99),FIND(" ",MID(TRIM(D51),SEARCH(" o ",TRIM(D51))+3,99)&amp;" ")-1)))/2,IFERROR(VALUE(LEFT(TRIM(D51),FIND(" ",TRIM(D51)&amp;" ")-1)),""))))</f>
        <v/>
      </c>
    </row>
    <row r="52">
      <c r="A52" s="6" t="n"/>
      <c r="B52" s="7" t="n"/>
      <c r="C52" s="7" t="n"/>
      <c r="D52" s="7" t="n"/>
      <c r="E52" s="7" t="n"/>
      <c r="G52" s="8">
        <f>IF(TRIM(B52)="","",IFERROR(VALUE(B52),IFERROR((VALUE(LEFT(TRIM(B52),SEARCH(" o ",TRIM(B52))-1))+VALUE(LEFT(MID(TRIM(B52),SEARCH(" o ",TRIM(B52))+3,99),FIND(" ",MID(TRIM(B52),SEARCH(" o ",TRIM(B52))+3,99)&amp;" ")-1)))/2,IFERROR(VALUE(LEFT(TRIM(B52),FIND(" ",TRIM(B52)&amp;" ")-1)),""))))</f>
        <v/>
      </c>
      <c r="H52" s="8">
        <f>IF(TRIM(C52)="","",IFERROR(VALUE(C52),IFERROR((VALUE(LEFT(TRIM(C52),SEARCH(" o ",TRIM(C52))-1))+VALUE(LEFT(MID(TRIM(C52),SEARCH(" o ",TRIM(C52))+3,99),FIND(" ",MID(TRIM(C52),SEARCH(" o ",TRIM(C52))+3,99)&amp;" ")-1)))/2,IFERROR(VALUE(LEFT(TRIM(C52),FIND(" ",TRIM(C52)&amp;" ")-1)),""))))</f>
        <v/>
      </c>
      <c r="I52" s="8">
        <f>IF(TRIM(D52)="","",IFERROR(VALUE(D52),IFERROR((VALUE(LEFT(TRIM(D52),SEARCH(" o ",TRIM(D52))-1))+VALUE(LEFT(MID(TRIM(D52),SEARCH(" o ",TRIM(D52))+3,99),FIND(" ",MID(TRIM(D52),SEARCH(" o ",TRIM(D52))+3,99)&amp;" ")-1)))/2,IFERROR(VALUE(LEFT(TRIM(D52),FIND(" ",TRIM(D52)&amp;" ")-1)),""))))</f>
        <v/>
      </c>
    </row>
    <row r="53">
      <c r="A53" s="6" t="n"/>
      <c r="B53" s="7" t="n"/>
      <c r="C53" s="7" t="n"/>
      <c r="D53" s="7" t="n"/>
      <c r="E53" s="7" t="n"/>
      <c r="G53" s="8">
        <f>IF(TRIM(B53)="","",IFERROR(VALUE(B53),IFERROR((VALUE(LEFT(TRIM(B53),SEARCH(" o ",TRIM(B53))-1))+VALUE(LEFT(MID(TRIM(B53),SEARCH(" o ",TRIM(B53))+3,99),FIND(" ",MID(TRIM(B53),SEARCH(" o ",TRIM(B53))+3,99)&amp;" ")-1)))/2,IFERROR(VALUE(LEFT(TRIM(B53),FIND(" ",TRIM(B53)&amp;" ")-1)),""))))</f>
        <v/>
      </c>
      <c r="H53" s="8">
        <f>IF(TRIM(C53)="","",IFERROR(VALUE(C53),IFERROR((VALUE(LEFT(TRIM(C53),SEARCH(" o ",TRIM(C53))-1))+VALUE(LEFT(MID(TRIM(C53),SEARCH(" o ",TRIM(C53))+3,99),FIND(" ",MID(TRIM(C53),SEARCH(" o ",TRIM(C53))+3,99)&amp;" ")-1)))/2,IFERROR(VALUE(LEFT(TRIM(C53),FIND(" ",TRIM(C53)&amp;" ")-1)),""))))</f>
        <v/>
      </c>
      <c r="I53" s="8">
        <f>IF(TRIM(D53)="","",IFERROR(VALUE(D53),IFERROR((VALUE(LEFT(TRIM(D53),SEARCH(" o ",TRIM(D53))-1))+VALUE(LEFT(MID(TRIM(D53),SEARCH(" o ",TRIM(D53))+3,99),FIND(" ",MID(TRIM(D53),SEARCH(" o ",TRIM(D53))+3,99)&amp;" ")-1)))/2,IFERROR(VALUE(LEFT(TRIM(D53),FIND(" ",TRIM(D53)&amp;" ")-1)),""))))</f>
        <v/>
      </c>
    </row>
    <row r="54">
      <c r="A54" s="6" t="n"/>
      <c r="B54" s="7" t="n"/>
      <c r="C54" s="7" t="n"/>
      <c r="D54" s="7" t="n"/>
      <c r="E54" s="7" t="n"/>
      <c r="G54" s="8">
        <f>IF(TRIM(B54)="","",IFERROR(VALUE(B54),IFERROR((VALUE(LEFT(TRIM(B54),SEARCH(" o ",TRIM(B54))-1))+VALUE(LEFT(MID(TRIM(B54),SEARCH(" o ",TRIM(B54))+3,99),FIND(" ",MID(TRIM(B54),SEARCH(" o ",TRIM(B54))+3,99)&amp;" ")-1)))/2,IFERROR(VALUE(LEFT(TRIM(B54),FIND(" ",TRIM(B54)&amp;" ")-1)),""))))</f>
        <v/>
      </c>
      <c r="H54" s="8">
        <f>IF(TRIM(C54)="","",IFERROR(VALUE(C54),IFERROR((VALUE(LEFT(TRIM(C54),SEARCH(" o ",TRIM(C54))-1))+VALUE(LEFT(MID(TRIM(C54),SEARCH(" o ",TRIM(C54))+3,99),FIND(" ",MID(TRIM(C54),SEARCH(" o ",TRIM(C54))+3,99)&amp;" ")-1)))/2,IFERROR(VALUE(LEFT(TRIM(C54),FIND(" ",TRIM(C54)&amp;" ")-1)),""))))</f>
        <v/>
      </c>
      <c r="I54" s="8">
        <f>IF(TRIM(D54)="","",IFERROR(VALUE(D54),IFERROR((VALUE(LEFT(TRIM(D54),SEARCH(" o ",TRIM(D54))-1))+VALUE(LEFT(MID(TRIM(D54),SEARCH(" o ",TRIM(D54))+3,99),FIND(" ",MID(TRIM(D54),SEARCH(" o ",TRIM(D54))+3,99)&amp;" ")-1)))/2,IFERROR(VALUE(LEFT(TRIM(D54),FIND(" ",TRIM(D54)&amp;" ")-1)),""))))</f>
        <v/>
      </c>
    </row>
    <row r="55">
      <c r="A55" s="6" t="n"/>
      <c r="B55" s="7" t="n"/>
      <c r="C55" s="7" t="n"/>
      <c r="D55" s="7" t="n"/>
      <c r="E55" s="7" t="n"/>
      <c r="G55" s="8">
        <f>IF(TRIM(B55)="","",IFERROR(VALUE(B55),IFERROR((VALUE(LEFT(TRIM(B55),SEARCH(" o ",TRIM(B55))-1))+VALUE(LEFT(MID(TRIM(B55),SEARCH(" o ",TRIM(B55))+3,99),FIND(" ",MID(TRIM(B55),SEARCH(" o ",TRIM(B55))+3,99)&amp;" ")-1)))/2,IFERROR(VALUE(LEFT(TRIM(B55),FIND(" ",TRIM(B55)&amp;" ")-1)),""))))</f>
        <v/>
      </c>
      <c r="H55" s="8">
        <f>IF(TRIM(C55)="","",IFERROR(VALUE(C55),IFERROR((VALUE(LEFT(TRIM(C55),SEARCH(" o ",TRIM(C55))-1))+VALUE(LEFT(MID(TRIM(C55),SEARCH(" o ",TRIM(C55))+3,99),FIND(" ",MID(TRIM(C55),SEARCH(" o ",TRIM(C55))+3,99)&amp;" ")-1)))/2,IFERROR(VALUE(LEFT(TRIM(C55),FIND(" ",TRIM(C55)&amp;" ")-1)),""))))</f>
        <v/>
      </c>
      <c r="I55" s="8">
        <f>IF(TRIM(D55)="","",IFERROR(VALUE(D55),IFERROR((VALUE(LEFT(TRIM(D55),SEARCH(" o ",TRIM(D55))-1))+VALUE(LEFT(MID(TRIM(D55),SEARCH(" o ",TRIM(D55))+3,99),FIND(" ",MID(TRIM(D55),SEARCH(" o ",TRIM(D55))+3,99)&amp;" ")-1)))/2,IFERROR(VALUE(LEFT(TRIM(D55),FIND(" ",TRIM(D55)&amp;" ")-1)),""))))</f>
        <v/>
      </c>
    </row>
    <row r="56">
      <c r="A56" s="6" t="n"/>
      <c r="B56" s="7" t="n"/>
      <c r="C56" s="7" t="n"/>
      <c r="D56" s="7" t="n"/>
      <c r="E56" s="7" t="n"/>
      <c r="G56" s="8">
        <f>IF(TRIM(B56)="","",IFERROR(VALUE(B56),IFERROR((VALUE(LEFT(TRIM(B56),SEARCH(" o ",TRIM(B56))-1))+VALUE(LEFT(MID(TRIM(B56),SEARCH(" o ",TRIM(B56))+3,99),FIND(" ",MID(TRIM(B56),SEARCH(" o ",TRIM(B56))+3,99)&amp;" ")-1)))/2,IFERROR(VALUE(LEFT(TRIM(B56),FIND(" ",TRIM(B56)&amp;" ")-1)),""))))</f>
        <v/>
      </c>
      <c r="H56" s="8">
        <f>IF(TRIM(C56)="","",IFERROR(VALUE(C56),IFERROR((VALUE(LEFT(TRIM(C56),SEARCH(" o ",TRIM(C56))-1))+VALUE(LEFT(MID(TRIM(C56),SEARCH(" o ",TRIM(C56))+3,99),FIND(" ",MID(TRIM(C56),SEARCH(" o ",TRIM(C56))+3,99)&amp;" ")-1)))/2,IFERROR(VALUE(LEFT(TRIM(C56),FIND(" ",TRIM(C56)&amp;" ")-1)),""))))</f>
        <v/>
      </c>
      <c r="I56" s="8">
        <f>IF(TRIM(D56)="","",IFERROR(VALUE(D56),IFERROR((VALUE(LEFT(TRIM(D56),SEARCH(" o ",TRIM(D56))-1))+VALUE(LEFT(MID(TRIM(D56),SEARCH(" o ",TRIM(D56))+3,99),FIND(" ",MID(TRIM(D56),SEARCH(" o ",TRIM(D56))+3,99)&amp;" ")-1)))/2,IFERROR(VALUE(LEFT(TRIM(D56),FIND(" ",TRIM(D56)&amp;" ")-1)),""))))</f>
        <v/>
      </c>
    </row>
    <row r="57">
      <c r="A57" s="6" t="n"/>
      <c r="B57" s="7" t="n"/>
      <c r="C57" s="7" t="n"/>
      <c r="D57" s="7" t="n"/>
      <c r="E57" s="7" t="n"/>
      <c r="G57" s="8">
        <f>IF(TRIM(B57)="","",IFERROR(VALUE(B57),IFERROR((VALUE(LEFT(TRIM(B57),SEARCH(" o ",TRIM(B57))-1))+VALUE(LEFT(MID(TRIM(B57),SEARCH(" o ",TRIM(B57))+3,99),FIND(" ",MID(TRIM(B57),SEARCH(" o ",TRIM(B57))+3,99)&amp;" ")-1)))/2,IFERROR(VALUE(LEFT(TRIM(B57),FIND(" ",TRIM(B57)&amp;" ")-1)),""))))</f>
        <v/>
      </c>
      <c r="H57" s="8">
        <f>IF(TRIM(C57)="","",IFERROR(VALUE(C57),IFERROR((VALUE(LEFT(TRIM(C57),SEARCH(" o ",TRIM(C57))-1))+VALUE(LEFT(MID(TRIM(C57),SEARCH(" o ",TRIM(C57))+3,99),FIND(" ",MID(TRIM(C57),SEARCH(" o ",TRIM(C57))+3,99)&amp;" ")-1)))/2,IFERROR(VALUE(LEFT(TRIM(C57),FIND(" ",TRIM(C57)&amp;" ")-1)),""))))</f>
        <v/>
      </c>
      <c r="I57" s="8">
        <f>IF(TRIM(D57)="","",IFERROR(VALUE(D57),IFERROR((VALUE(LEFT(TRIM(D57),SEARCH(" o ",TRIM(D57))-1))+VALUE(LEFT(MID(TRIM(D57),SEARCH(" o ",TRIM(D57))+3,99),FIND(" ",MID(TRIM(D57),SEARCH(" o ",TRIM(D57))+3,99)&amp;" ")-1)))/2,IFERROR(VALUE(LEFT(TRIM(D57),FIND(" ",TRIM(D57)&amp;" ")-1)),""))))</f>
        <v/>
      </c>
    </row>
    <row r="58">
      <c r="A58" s="6" t="n"/>
      <c r="B58" s="7" t="n"/>
      <c r="C58" s="7" t="n"/>
      <c r="D58" s="7" t="n"/>
      <c r="E58" s="7" t="n"/>
      <c r="G58" s="8">
        <f>IF(TRIM(B58)="","",IFERROR(VALUE(B58),IFERROR((VALUE(LEFT(TRIM(B58),SEARCH(" o ",TRIM(B58))-1))+VALUE(LEFT(MID(TRIM(B58),SEARCH(" o ",TRIM(B58))+3,99),FIND(" ",MID(TRIM(B58),SEARCH(" o ",TRIM(B58))+3,99)&amp;" ")-1)))/2,IFERROR(VALUE(LEFT(TRIM(B58),FIND(" ",TRIM(B58)&amp;" ")-1)),""))))</f>
        <v/>
      </c>
      <c r="H58" s="8">
        <f>IF(TRIM(C58)="","",IFERROR(VALUE(C58),IFERROR((VALUE(LEFT(TRIM(C58),SEARCH(" o ",TRIM(C58))-1))+VALUE(LEFT(MID(TRIM(C58),SEARCH(" o ",TRIM(C58))+3,99),FIND(" ",MID(TRIM(C58),SEARCH(" o ",TRIM(C58))+3,99)&amp;" ")-1)))/2,IFERROR(VALUE(LEFT(TRIM(C58),FIND(" ",TRIM(C58)&amp;" ")-1)),""))))</f>
        <v/>
      </c>
      <c r="I58" s="8">
        <f>IF(TRIM(D58)="","",IFERROR(VALUE(D58),IFERROR((VALUE(LEFT(TRIM(D58),SEARCH(" o ",TRIM(D58))-1))+VALUE(LEFT(MID(TRIM(D58),SEARCH(" o ",TRIM(D58))+3,99),FIND(" ",MID(TRIM(D58),SEARCH(" o ",TRIM(D58))+3,99)&amp;" ")-1)))/2,IFERROR(VALUE(LEFT(TRIM(D58),FIND(" ",TRIM(D58)&amp;" ")-1)),""))))</f>
        <v/>
      </c>
    </row>
    <row r="59">
      <c r="A59" s="6" t="n"/>
      <c r="B59" s="7" t="n"/>
      <c r="C59" s="7" t="n"/>
      <c r="D59" s="7" t="n"/>
      <c r="E59" s="7" t="n"/>
      <c r="G59" s="8">
        <f>IF(TRIM(B59)="","",IFERROR(VALUE(B59),IFERROR((VALUE(LEFT(TRIM(B59),SEARCH(" o ",TRIM(B59))-1))+VALUE(LEFT(MID(TRIM(B59),SEARCH(" o ",TRIM(B59))+3,99),FIND(" ",MID(TRIM(B59),SEARCH(" o ",TRIM(B59))+3,99)&amp;" ")-1)))/2,IFERROR(VALUE(LEFT(TRIM(B59),FIND(" ",TRIM(B59)&amp;" ")-1)),""))))</f>
        <v/>
      </c>
      <c r="H59" s="8">
        <f>IF(TRIM(C59)="","",IFERROR(VALUE(C59),IFERROR((VALUE(LEFT(TRIM(C59),SEARCH(" o ",TRIM(C59))-1))+VALUE(LEFT(MID(TRIM(C59),SEARCH(" o ",TRIM(C59))+3,99),FIND(" ",MID(TRIM(C59),SEARCH(" o ",TRIM(C59))+3,99)&amp;" ")-1)))/2,IFERROR(VALUE(LEFT(TRIM(C59),FIND(" ",TRIM(C59)&amp;" ")-1)),""))))</f>
        <v/>
      </c>
      <c r="I59" s="8">
        <f>IF(TRIM(D59)="","",IFERROR(VALUE(D59),IFERROR((VALUE(LEFT(TRIM(D59),SEARCH(" o ",TRIM(D59))-1))+VALUE(LEFT(MID(TRIM(D59),SEARCH(" o ",TRIM(D59))+3,99),FIND(" ",MID(TRIM(D59),SEARCH(" o ",TRIM(D59))+3,99)&amp;" ")-1)))/2,IFERROR(VALUE(LEFT(TRIM(D59),FIND(" ",TRIM(D59)&amp;" ")-1)),""))))</f>
        <v/>
      </c>
    </row>
    <row r="60">
      <c r="A60" s="6" t="n"/>
      <c r="B60" s="7" t="n"/>
      <c r="C60" s="7" t="n"/>
      <c r="D60" s="7" t="n"/>
      <c r="E60" s="7" t="n"/>
      <c r="G60" s="8">
        <f>IF(TRIM(B60)="","",IFERROR(VALUE(B60),IFERROR((VALUE(LEFT(TRIM(B60),SEARCH(" o ",TRIM(B60))-1))+VALUE(LEFT(MID(TRIM(B60),SEARCH(" o ",TRIM(B60))+3,99),FIND(" ",MID(TRIM(B60),SEARCH(" o ",TRIM(B60))+3,99)&amp;" ")-1)))/2,IFERROR(VALUE(LEFT(TRIM(B60),FIND(" ",TRIM(B60)&amp;" ")-1)),""))))</f>
        <v/>
      </c>
      <c r="H60" s="8">
        <f>IF(TRIM(C60)="","",IFERROR(VALUE(C60),IFERROR((VALUE(LEFT(TRIM(C60),SEARCH(" o ",TRIM(C60))-1))+VALUE(LEFT(MID(TRIM(C60),SEARCH(" o ",TRIM(C60))+3,99),FIND(" ",MID(TRIM(C60),SEARCH(" o ",TRIM(C60))+3,99)&amp;" ")-1)))/2,IFERROR(VALUE(LEFT(TRIM(C60),FIND(" ",TRIM(C60)&amp;" ")-1)),""))))</f>
        <v/>
      </c>
      <c r="I60" s="8">
        <f>IF(TRIM(D60)="","",IFERROR(VALUE(D60),IFERROR((VALUE(LEFT(TRIM(D60),SEARCH(" o ",TRIM(D60))-1))+VALUE(LEFT(MID(TRIM(D60),SEARCH(" o ",TRIM(D60))+3,99),FIND(" ",MID(TRIM(D60),SEARCH(" o ",TRIM(D60))+3,99)&amp;" ")-1)))/2,IFERROR(VALUE(LEFT(TRIM(D60),FIND(" ",TRIM(D60)&amp;" ")-1)),""))))</f>
        <v/>
      </c>
    </row>
    <row r="61">
      <c r="A61" s="6" t="n"/>
      <c r="B61" s="7" t="n"/>
      <c r="C61" s="7" t="n"/>
      <c r="D61" s="7" t="n"/>
      <c r="E61" s="7" t="n"/>
      <c r="G61" s="8">
        <f>IF(TRIM(B61)="","",IFERROR(VALUE(B61),IFERROR((VALUE(LEFT(TRIM(B61),SEARCH(" o ",TRIM(B61))-1))+VALUE(LEFT(MID(TRIM(B61),SEARCH(" o ",TRIM(B61))+3,99),FIND(" ",MID(TRIM(B61),SEARCH(" o ",TRIM(B61))+3,99)&amp;" ")-1)))/2,IFERROR(VALUE(LEFT(TRIM(B61),FIND(" ",TRIM(B61)&amp;" ")-1)),""))))</f>
        <v/>
      </c>
      <c r="H61" s="8">
        <f>IF(TRIM(C61)="","",IFERROR(VALUE(C61),IFERROR((VALUE(LEFT(TRIM(C61),SEARCH(" o ",TRIM(C61))-1))+VALUE(LEFT(MID(TRIM(C61),SEARCH(" o ",TRIM(C61))+3,99),FIND(" ",MID(TRIM(C61),SEARCH(" o ",TRIM(C61))+3,99)&amp;" ")-1)))/2,IFERROR(VALUE(LEFT(TRIM(C61),FIND(" ",TRIM(C61)&amp;" ")-1)),""))))</f>
        <v/>
      </c>
      <c r="I61" s="8">
        <f>IF(TRIM(D61)="","",IFERROR(VALUE(D61),IFERROR((VALUE(LEFT(TRIM(D61),SEARCH(" o ",TRIM(D61))-1))+VALUE(LEFT(MID(TRIM(D61),SEARCH(" o ",TRIM(D61))+3,99),FIND(" ",MID(TRIM(D61),SEARCH(" o ",TRIM(D61))+3,99)&amp;" ")-1)))/2,IFERROR(VALUE(LEFT(TRIM(D61),FIND(" ",TRIM(D61)&amp;" ")-1)),""))))</f>
        <v/>
      </c>
    </row>
    <row r="62">
      <c r="A62" s="6" t="n"/>
      <c r="B62" s="7" t="n"/>
      <c r="C62" s="7" t="n"/>
      <c r="D62" s="7" t="n"/>
      <c r="E62" s="7" t="n"/>
      <c r="G62" s="8">
        <f>IF(TRIM(B62)="","",IFERROR(VALUE(B62),IFERROR((VALUE(LEFT(TRIM(B62),SEARCH(" o ",TRIM(B62))-1))+VALUE(LEFT(MID(TRIM(B62),SEARCH(" o ",TRIM(B62))+3,99),FIND(" ",MID(TRIM(B62),SEARCH(" o ",TRIM(B62))+3,99)&amp;" ")-1)))/2,IFERROR(VALUE(LEFT(TRIM(B62),FIND(" ",TRIM(B62)&amp;" ")-1)),""))))</f>
        <v/>
      </c>
      <c r="H62" s="8">
        <f>IF(TRIM(C62)="","",IFERROR(VALUE(C62),IFERROR((VALUE(LEFT(TRIM(C62),SEARCH(" o ",TRIM(C62))-1))+VALUE(LEFT(MID(TRIM(C62),SEARCH(" o ",TRIM(C62))+3,99),FIND(" ",MID(TRIM(C62),SEARCH(" o ",TRIM(C62))+3,99)&amp;" ")-1)))/2,IFERROR(VALUE(LEFT(TRIM(C62),FIND(" ",TRIM(C62)&amp;" ")-1)),""))))</f>
        <v/>
      </c>
      <c r="I62" s="8">
        <f>IF(TRIM(D62)="","",IFERROR(VALUE(D62),IFERROR((VALUE(LEFT(TRIM(D62),SEARCH(" o ",TRIM(D62))-1))+VALUE(LEFT(MID(TRIM(D62),SEARCH(" o ",TRIM(D62))+3,99),FIND(" ",MID(TRIM(D62),SEARCH(" o ",TRIM(D62))+3,99)&amp;" ")-1)))/2,IFERROR(VALUE(LEFT(TRIM(D62),FIND(" ",TRIM(D62)&amp;" ")-1)),""))))</f>
        <v/>
      </c>
    </row>
    <row r="63">
      <c r="A63" s="6" t="n"/>
      <c r="B63" s="7" t="n"/>
      <c r="C63" s="7" t="n"/>
      <c r="D63" s="7" t="n"/>
      <c r="E63" s="7" t="n"/>
      <c r="G63" s="8">
        <f>IF(TRIM(B63)="","",IFERROR(VALUE(B63),IFERROR((VALUE(LEFT(TRIM(B63),SEARCH(" o ",TRIM(B63))-1))+VALUE(LEFT(MID(TRIM(B63),SEARCH(" o ",TRIM(B63))+3,99),FIND(" ",MID(TRIM(B63),SEARCH(" o ",TRIM(B63))+3,99)&amp;" ")-1)))/2,IFERROR(VALUE(LEFT(TRIM(B63),FIND(" ",TRIM(B63)&amp;" ")-1)),""))))</f>
        <v/>
      </c>
      <c r="H63" s="8">
        <f>IF(TRIM(C63)="","",IFERROR(VALUE(C63),IFERROR((VALUE(LEFT(TRIM(C63),SEARCH(" o ",TRIM(C63))-1))+VALUE(LEFT(MID(TRIM(C63),SEARCH(" o ",TRIM(C63))+3,99),FIND(" ",MID(TRIM(C63),SEARCH(" o ",TRIM(C63))+3,99)&amp;" ")-1)))/2,IFERROR(VALUE(LEFT(TRIM(C63),FIND(" ",TRIM(C63)&amp;" ")-1)),""))))</f>
        <v/>
      </c>
      <c r="I63" s="8">
        <f>IF(TRIM(D63)="","",IFERROR(VALUE(D63),IFERROR((VALUE(LEFT(TRIM(D63),SEARCH(" o ",TRIM(D63))-1))+VALUE(LEFT(MID(TRIM(D63),SEARCH(" o ",TRIM(D63))+3,99),FIND(" ",MID(TRIM(D63),SEARCH(" o ",TRIM(D63))+3,99)&amp;" ")-1)))/2,IFERROR(VALUE(LEFT(TRIM(D63),FIND(" ",TRIM(D63)&amp;" ")-1)),""))))</f>
        <v/>
      </c>
    </row>
    <row r="64">
      <c r="A64" s="6" t="n"/>
      <c r="B64" s="7" t="n"/>
      <c r="C64" s="7" t="n"/>
      <c r="D64" s="7" t="n"/>
      <c r="E64" s="7" t="n"/>
      <c r="G64" s="8">
        <f>IF(TRIM(B64)="","",IFERROR(VALUE(B64),IFERROR((VALUE(LEFT(TRIM(B64),SEARCH(" o ",TRIM(B64))-1))+VALUE(LEFT(MID(TRIM(B64),SEARCH(" o ",TRIM(B64))+3,99),FIND(" ",MID(TRIM(B64),SEARCH(" o ",TRIM(B64))+3,99)&amp;" ")-1)))/2,IFERROR(VALUE(LEFT(TRIM(B64),FIND(" ",TRIM(B64)&amp;" ")-1)),""))))</f>
        <v/>
      </c>
      <c r="H64" s="8">
        <f>IF(TRIM(C64)="","",IFERROR(VALUE(C64),IFERROR((VALUE(LEFT(TRIM(C64),SEARCH(" o ",TRIM(C64))-1))+VALUE(LEFT(MID(TRIM(C64),SEARCH(" o ",TRIM(C64))+3,99),FIND(" ",MID(TRIM(C64),SEARCH(" o ",TRIM(C64))+3,99)&amp;" ")-1)))/2,IFERROR(VALUE(LEFT(TRIM(C64),FIND(" ",TRIM(C64)&amp;" ")-1)),""))))</f>
        <v/>
      </c>
      <c r="I64" s="8">
        <f>IF(TRIM(D64)="","",IFERROR(VALUE(D64),IFERROR((VALUE(LEFT(TRIM(D64),SEARCH(" o ",TRIM(D64))-1))+VALUE(LEFT(MID(TRIM(D64),SEARCH(" o ",TRIM(D64))+3,99),FIND(" ",MID(TRIM(D64),SEARCH(" o ",TRIM(D64))+3,99)&amp;" ")-1)))/2,IFERROR(VALUE(LEFT(TRIM(D64),FIND(" ",TRIM(D64)&amp;" ")-1)),""))))</f>
        <v/>
      </c>
    </row>
    <row r="65">
      <c r="A65" s="6" t="n"/>
      <c r="B65" s="7" t="n"/>
      <c r="C65" s="7" t="n"/>
      <c r="D65" s="7" t="n"/>
      <c r="E65" s="7" t="n"/>
      <c r="G65" s="8">
        <f>IF(TRIM(B65)="","",IFERROR(VALUE(B65),IFERROR((VALUE(LEFT(TRIM(B65),SEARCH(" o ",TRIM(B65))-1))+VALUE(LEFT(MID(TRIM(B65),SEARCH(" o ",TRIM(B65))+3,99),FIND(" ",MID(TRIM(B65),SEARCH(" o ",TRIM(B65))+3,99)&amp;" ")-1)))/2,IFERROR(VALUE(LEFT(TRIM(B65),FIND(" ",TRIM(B65)&amp;" ")-1)),""))))</f>
        <v/>
      </c>
      <c r="H65" s="8">
        <f>IF(TRIM(C65)="","",IFERROR(VALUE(C65),IFERROR((VALUE(LEFT(TRIM(C65),SEARCH(" o ",TRIM(C65))-1))+VALUE(LEFT(MID(TRIM(C65),SEARCH(" o ",TRIM(C65))+3,99),FIND(" ",MID(TRIM(C65),SEARCH(" o ",TRIM(C65))+3,99)&amp;" ")-1)))/2,IFERROR(VALUE(LEFT(TRIM(C65),FIND(" ",TRIM(C65)&amp;" ")-1)),""))))</f>
        <v/>
      </c>
      <c r="I65" s="8">
        <f>IF(TRIM(D65)="","",IFERROR(VALUE(D65),IFERROR((VALUE(LEFT(TRIM(D65),SEARCH(" o ",TRIM(D65))-1))+VALUE(LEFT(MID(TRIM(D65),SEARCH(" o ",TRIM(D65))+3,99),FIND(" ",MID(TRIM(D65),SEARCH(" o ",TRIM(D65))+3,99)&amp;" ")-1)))/2,IFERROR(VALUE(LEFT(TRIM(D65),FIND(" ",TRIM(D65)&amp;" ")-1)),""))))</f>
        <v/>
      </c>
    </row>
    <row r="66">
      <c r="A66" s="6" t="n"/>
      <c r="B66" s="7" t="n"/>
      <c r="C66" s="7" t="n"/>
      <c r="D66" s="7" t="n"/>
      <c r="E66" s="7" t="n"/>
      <c r="G66" s="8">
        <f>IF(TRIM(B66)="","",IFERROR(VALUE(B66),IFERROR((VALUE(LEFT(TRIM(B66),SEARCH(" o ",TRIM(B66))-1))+VALUE(LEFT(MID(TRIM(B66),SEARCH(" o ",TRIM(B66))+3,99),FIND(" ",MID(TRIM(B66),SEARCH(" o ",TRIM(B66))+3,99)&amp;" ")-1)))/2,IFERROR(VALUE(LEFT(TRIM(B66),FIND(" ",TRIM(B66)&amp;" ")-1)),""))))</f>
        <v/>
      </c>
      <c r="H66" s="8">
        <f>IF(TRIM(C66)="","",IFERROR(VALUE(C66),IFERROR((VALUE(LEFT(TRIM(C66),SEARCH(" o ",TRIM(C66))-1))+VALUE(LEFT(MID(TRIM(C66),SEARCH(" o ",TRIM(C66))+3,99),FIND(" ",MID(TRIM(C66),SEARCH(" o ",TRIM(C66))+3,99)&amp;" ")-1)))/2,IFERROR(VALUE(LEFT(TRIM(C66),FIND(" ",TRIM(C66)&amp;" ")-1)),""))))</f>
        <v/>
      </c>
      <c r="I66" s="8">
        <f>IF(TRIM(D66)="","",IFERROR(VALUE(D66),IFERROR((VALUE(LEFT(TRIM(D66),SEARCH(" o ",TRIM(D66))-1))+VALUE(LEFT(MID(TRIM(D66),SEARCH(" o ",TRIM(D66))+3,99),FIND(" ",MID(TRIM(D66),SEARCH(" o ",TRIM(D66))+3,99)&amp;" ")-1)))/2,IFERROR(VALUE(LEFT(TRIM(D66),FIND(" ",TRIM(D66)&amp;" ")-1)),""))))</f>
        <v/>
      </c>
    </row>
    <row r="67">
      <c r="A67" s="6" t="n"/>
      <c r="B67" s="7" t="n"/>
      <c r="C67" s="7" t="n"/>
      <c r="D67" s="7" t="n"/>
      <c r="E67" s="7" t="n"/>
      <c r="G67" s="8">
        <f>IF(TRIM(B67)="","",IFERROR(VALUE(B67),IFERROR((VALUE(LEFT(TRIM(B67),SEARCH(" o ",TRIM(B67))-1))+VALUE(LEFT(MID(TRIM(B67),SEARCH(" o ",TRIM(B67))+3,99),FIND(" ",MID(TRIM(B67),SEARCH(" o ",TRIM(B67))+3,99)&amp;" ")-1)))/2,IFERROR(VALUE(LEFT(TRIM(B67),FIND(" ",TRIM(B67)&amp;" ")-1)),""))))</f>
        <v/>
      </c>
      <c r="H67" s="8">
        <f>IF(TRIM(C67)="","",IFERROR(VALUE(C67),IFERROR((VALUE(LEFT(TRIM(C67),SEARCH(" o ",TRIM(C67))-1))+VALUE(LEFT(MID(TRIM(C67),SEARCH(" o ",TRIM(C67))+3,99),FIND(" ",MID(TRIM(C67),SEARCH(" o ",TRIM(C67))+3,99)&amp;" ")-1)))/2,IFERROR(VALUE(LEFT(TRIM(C67),FIND(" ",TRIM(C67)&amp;" ")-1)),""))))</f>
        <v/>
      </c>
      <c r="I67" s="8">
        <f>IF(TRIM(D67)="","",IFERROR(VALUE(D67),IFERROR((VALUE(LEFT(TRIM(D67),SEARCH(" o ",TRIM(D67))-1))+VALUE(LEFT(MID(TRIM(D67),SEARCH(" o ",TRIM(D67))+3,99),FIND(" ",MID(TRIM(D67),SEARCH(" o ",TRIM(D67))+3,99)&amp;" ")-1)))/2,IFERROR(VALUE(LEFT(TRIM(D67),FIND(" ",TRIM(D67)&amp;" ")-1)),""))))</f>
        <v/>
      </c>
    </row>
    <row r="68">
      <c r="A68" s="6" t="n"/>
      <c r="B68" s="7" t="n"/>
      <c r="C68" s="7" t="n"/>
      <c r="D68" s="7" t="n"/>
      <c r="E68" s="7" t="n"/>
      <c r="G68" s="8">
        <f>IF(TRIM(B68)="","",IFERROR(VALUE(B68),IFERROR((VALUE(LEFT(TRIM(B68),SEARCH(" o ",TRIM(B68))-1))+VALUE(LEFT(MID(TRIM(B68),SEARCH(" o ",TRIM(B68))+3,99),FIND(" ",MID(TRIM(B68),SEARCH(" o ",TRIM(B68))+3,99)&amp;" ")-1)))/2,IFERROR(VALUE(LEFT(TRIM(B68),FIND(" ",TRIM(B68)&amp;" ")-1)),""))))</f>
        <v/>
      </c>
      <c r="H68" s="8">
        <f>IF(TRIM(C68)="","",IFERROR(VALUE(C68),IFERROR((VALUE(LEFT(TRIM(C68),SEARCH(" o ",TRIM(C68))-1))+VALUE(LEFT(MID(TRIM(C68),SEARCH(" o ",TRIM(C68))+3,99),FIND(" ",MID(TRIM(C68),SEARCH(" o ",TRIM(C68))+3,99)&amp;" ")-1)))/2,IFERROR(VALUE(LEFT(TRIM(C68),FIND(" ",TRIM(C68)&amp;" ")-1)),""))))</f>
        <v/>
      </c>
      <c r="I68" s="8">
        <f>IF(TRIM(D68)="","",IFERROR(VALUE(D68),IFERROR((VALUE(LEFT(TRIM(D68),SEARCH(" o ",TRIM(D68))-1))+VALUE(LEFT(MID(TRIM(D68),SEARCH(" o ",TRIM(D68))+3,99),FIND(" ",MID(TRIM(D68),SEARCH(" o ",TRIM(D68))+3,99)&amp;" ")-1)))/2,IFERROR(VALUE(LEFT(TRIM(D68),FIND(" ",TRIM(D68)&amp;" ")-1)),""))))</f>
        <v/>
      </c>
    </row>
    <row r="69">
      <c r="A69" s="6" t="n"/>
      <c r="B69" s="7" t="n"/>
      <c r="C69" s="7" t="n"/>
      <c r="D69" s="7" t="n"/>
      <c r="E69" s="7" t="n"/>
      <c r="G69" s="8">
        <f>IF(TRIM(B69)="","",IFERROR(VALUE(B69),IFERROR((VALUE(LEFT(TRIM(B69),SEARCH(" o ",TRIM(B69))-1))+VALUE(LEFT(MID(TRIM(B69),SEARCH(" o ",TRIM(B69))+3,99),FIND(" ",MID(TRIM(B69),SEARCH(" o ",TRIM(B69))+3,99)&amp;" ")-1)))/2,IFERROR(VALUE(LEFT(TRIM(B69),FIND(" ",TRIM(B69)&amp;" ")-1)),""))))</f>
        <v/>
      </c>
      <c r="H69" s="8">
        <f>IF(TRIM(C69)="","",IFERROR(VALUE(C69),IFERROR((VALUE(LEFT(TRIM(C69),SEARCH(" o ",TRIM(C69))-1))+VALUE(LEFT(MID(TRIM(C69),SEARCH(" o ",TRIM(C69))+3,99),FIND(" ",MID(TRIM(C69),SEARCH(" o ",TRIM(C69))+3,99)&amp;" ")-1)))/2,IFERROR(VALUE(LEFT(TRIM(C69),FIND(" ",TRIM(C69)&amp;" ")-1)),""))))</f>
        <v/>
      </c>
      <c r="I69" s="8">
        <f>IF(TRIM(D69)="","",IFERROR(VALUE(D69),IFERROR((VALUE(LEFT(TRIM(D69),SEARCH(" o ",TRIM(D69))-1))+VALUE(LEFT(MID(TRIM(D69),SEARCH(" o ",TRIM(D69))+3,99),FIND(" ",MID(TRIM(D69),SEARCH(" o ",TRIM(D69))+3,99)&amp;" ")-1)))/2,IFERROR(VALUE(LEFT(TRIM(D69),FIND(" ",TRIM(D69)&amp;" ")-1)),""))))</f>
        <v/>
      </c>
    </row>
    <row r="70">
      <c r="A70" s="6" t="n"/>
      <c r="B70" s="7" t="n"/>
      <c r="C70" s="7" t="n"/>
      <c r="D70" s="7" t="n"/>
      <c r="E70" s="7" t="n"/>
      <c r="G70" s="8">
        <f>IF(TRIM(B70)="","",IFERROR(VALUE(B70),IFERROR((VALUE(LEFT(TRIM(B70),SEARCH(" o ",TRIM(B70))-1))+VALUE(LEFT(MID(TRIM(B70),SEARCH(" o ",TRIM(B70))+3,99),FIND(" ",MID(TRIM(B70),SEARCH(" o ",TRIM(B70))+3,99)&amp;" ")-1)))/2,IFERROR(VALUE(LEFT(TRIM(B70),FIND(" ",TRIM(B70)&amp;" ")-1)),""))))</f>
        <v/>
      </c>
      <c r="H70" s="8">
        <f>IF(TRIM(C70)="","",IFERROR(VALUE(C70),IFERROR((VALUE(LEFT(TRIM(C70),SEARCH(" o ",TRIM(C70))-1))+VALUE(LEFT(MID(TRIM(C70),SEARCH(" o ",TRIM(C70))+3,99),FIND(" ",MID(TRIM(C70),SEARCH(" o ",TRIM(C70))+3,99)&amp;" ")-1)))/2,IFERROR(VALUE(LEFT(TRIM(C70),FIND(" ",TRIM(C70)&amp;" ")-1)),""))))</f>
        <v/>
      </c>
      <c r="I70" s="8">
        <f>IF(TRIM(D70)="","",IFERROR(VALUE(D70),IFERROR((VALUE(LEFT(TRIM(D70),SEARCH(" o ",TRIM(D70))-1))+VALUE(LEFT(MID(TRIM(D70),SEARCH(" o ",TRIM(D70))+3,99),FIND(" ",MID(TRIM(D70),SEARCH(" o ",TRIM(D70))+3,99)&amp;" ")-1)))/2,IFERROR(VALUE(LEFT(TRIM(D70),FIND(" ",TRIM(D70)&amp;" ")-1)),""))))</f>
        <v/>
      </c>
    </row>
    <row r="71">
      <c r="A71" s="6" t="n"/>
      <c r="B71" s="7" t="n"/>
      <c r="C71" s="7" t="n"/>
      <c r="D71" s="7" t="n"/>
      <c r="E71" s="7" t="n"/>
      <c r="G71" s="8">
        <f>IF(TRIM(B71)="","",IFERROR(VALUE(B71),IFERROR((VALUE(LEFT(TRIM(B71),SEARCH(" o ",TRIM(B71))-1))+VALUE(LEFT(MID(TRIM(B71),SEARCH(" o ",TRIM(B71))+3,99),FIND(" ",MID(TRIM(B71),SEARCH(" o ",TRIM(B71))+3,99)&amp;" ")-1)))/2,IFERROR(VALUE(LEFT(TRIM(B71),FIND(" ",TRIM(B71)&amp;" ")-1)),""))))</f>
        <v/>
      </c>
      <c r="H71" s="8">
        <f>IF(TRIM(C71)="","",IFERROR(VALUE(C71),IFERROR((VALUE(LEFT(TRIM(C71),SEARCH(" o ",TRIM(C71))-1))+VALUE(LEFT(MID(TRIM(C71),SEARCH(" o ",TRIM(C71))+3,99),FIND(" ",MID(TRIM(C71),SEARCH(" o ",TRIM(C71))+3,99)&amp;" ")-1)))/2,IFERROR(VALUE(LEFT(TRIM(C71),FIND(" ",TRIM(C71)&amp;" ")-1)),""))))</f>
        <v/>
      </c>
      <c r="I71" s="8">
        <f>IF(TRIM(D71)="","",IFERROR(VALUE(D71),IFERROR((VALUE(LEFT(TRIM(D71),SEARCH(" o ",TRIM(D71))-1))+VALUE(LEFT(MID(TRIM(D71),SEARCH(" o ",TRIM(D71))+3,99),FIND(" ",MID(TRIM(D71),SEARCH(" o ",TRIM(D71))+3,99)&amp;" ")-1)))/2,IFERROR(VALUE(LEFT(TRIM(D71),FIND(" ",TRIM(D71)&amp;" ")-1)),""))))</f>
        <v/>
      </c>
    </row>
    <row r="72">
      <c r="A72" s="6" t="n"/>
      <c r="B72" s="7" t="n"/>
      <c r="C72" s="7" t="n"/>
      <c r="D72" s="7" t="n"/>
      <c r="E72" s="7" t="n"/>
      <c r="G72" s="8">
        <f>IF(TRIM(B72)="","",IFERROR(VALUE(B72),IFERROR((VALUE(LEFT(TRIM(B72),SEARCH(" o ",TRIM(B72))-1))+VALUE(LEFT(MID(TRIM(B72),SEARCH(" o ",TRIM(B72))+3,99),FIND(" ",MID(TRIM(B72),SEARCH(" o ",TRIM(B72))+3,99)&amp;" ")-1)))/2,IFERROR(VALUE(LEFT(TRIM(B72),FIND(" ",TRIM(B72)&amp;" ")-1)),""))))</f>
        <v/>
      </c>
      <c r="H72" s="8">
        <f>IF(TRIM(C72)="","",IFERROR(VALUE(C72),IFERROR((VALUE(LEFT(TRIM(C72),SEARCH(" o ",TRIM(C72))-1))+VALUE(LEFT(MID(TRIM(C72),SEARCH(" o ",TRIM(C72))+3,99),FIND(" ",MID(TRIM(C72),SEARCH(" o ",TRIM(C72))+3,99)&amp;" ")-1)))/2,IFERROR(VALUE(LEFT(TRIM(C72),FIND(" ",TRIM(C72)&amp;" ")-1)),""))))</f>
        <v/>
      </c>
      <c r="I72" s="8">
        <f>IF(TRIM(D72)="","",IFERROR(VALUE(D72),IFERROR((VALUE(LEFT(TRIM(D72),SEARCH(" o ",TRIM(D72))-1))+VALUE(LEFT(MID(TRIM(D72),SEARCH(" o ",TRIM(D72))+3,99),FIND(" ",MID(TRIM(D72),SEARCH(" o ",TRIM(D72))+3,99)&amp;" ")-1)))/2,IFERROR(VALUE(LEFT(TRIM(D72),FIND(" ",TRIM(D72)&amp;" ")-1)),""))))</f>
        <v/>
      </c>
    </row>
    <row r="73">
      <c r="A73" s="6" t="n"/>
      <c r="B73" s="7" t="n"/>
      <c r="C73" s="7" t="n"/>
      <c r="D73" s="7" t="n"/>
      <c r="E73" s="7" t="n"/>
      <c r="G73" s="8">
        <f>IF(TRIM(B73)="","",IFERROR(VALUE(B73),IFERROR((VALUE(LEFT(TRIM(B73),SEARCH(" o ",TRIM(B73))-1))+VALUE(LEFT(MID(TRIM(B73),SEARCH(" o ",TRIM(B73))+3,99),FIND(" ",MID(TRIM(B73),SEARCH(" o ",TRIM(B73))+3,99)&amp;" ")-1)))/2,IFERROR(VALUE(LEFT(TRIM(B73),FIND(" ",TRIM(B73)&amp;" ")-1)),""))))</f>
        <v/>
      </c>
      <c r="H73" s="8">
        <f>IF(TRIM(C73)="","",IFERROR(VALUE(C73),IFERROR((VALUE(LEFT(TRIM(C73),SEARCH(" o ",TRIM(C73))-1))+VALUE(LEFT(MID(TRIM(C73),SEARCH(" o ",TRIM(C73))+3,99),FIND(" ",MID(TRIM(C73),SEARCH(" o ",TRIM(C73))+3,99)&amp;" ")-1)))/2,IFERROR(VALUE(LEFT(TRIM(C73),FIND(" ",TRIM(C73)&amp;" ")-1)),""))))</f>
        <v/>
      </c>
      <c r="I73" s="8">
        <f>IF(TRIM(D73)="","",IFERROR(VALUE(D73),IFERROR((VALUE(LEFT(TRIM(D73),SEARCH(" o ",TRIM(D73))-1))+VALUE(LEFT(MID(TRIM(D73),SEARCH(" o ",TRIM(D73))+3,99),FIND(" ",MID(TRIM(D73),SEARCH(" o ",TRIM(D73))+3,99)&amp;" ")-1)))/2,IFERROR(VALUE(LEFT(TRIM(D73),FIND(" ",TRIM(D73)&amp;" ")-1)),""))))</f>
        <v/>
      </c>
    </row>
    <row r="74">
      <c r="A74" s="6" t="n"/>
      <c r="B74" s="7" t="n"/>
      <c r="C74" s="7" t="n"/>
      <c r="D74" s="7" t="n"/>
      <c r="E74" s="7" t="n"/>
      <c r="G74" s="8">
        <f>IF(TRIM(B74)="","",IFERROR(VALUE(B74),IFERROR((VALUE(LEFT(TRIM(B74),SEARCH(" o ",TRIM(B74))-1))+VALUE(LEFT(MID(TRIM(B74),SEARCH(" o ",TRIM(B74))+3,99),FIND(" ",MID(TRIM(B74),SEARCH(" o ",TRIM(B74))+3,99)&amp;" ")-1)))/2,IFERROR(VALUE(LEFT(TRIM(B74),FIND(" ",TRIM(B74)&amp;" ")-1)),""))))</f>
        <v/>
      </c>
      <c r="H74" s="8">
        <f>IF(TRIM(C74)="","",IFERROR(VALUE(C74),IFERROR((VALUE(LEFT(TRIM(C74),SEARCH(" o ",TRIM(C74))-1))+VALUE(LEFT(MID(TRIM(C74),SEARCH(" o ",TRIM(C74))+3,99),FIND(" ",MID(TRIM(C74),SEARCH(" o ",TRIM(C74))+3,99)&amp;" ")-1)))/2,IFERROR(VALUE(LEFT(TRIM(C74),FIND(" ",TRIM(C74)&amp;" ")-1)),""))))</f>
        <v/>
      </c>
      <c r="I74" s="8">
        <f>IF(TRIM(D74)="","",IFERROR(VALUE(D74),IFERROR((VALUE(LEFT(TRIM(D74),SEARCH(" o ",TRIM(D74))-1))+VALUE(LEFT(MID(TRIM(D74),SEARCH(" o ",TRIM(D74))+3,99),FIND(" ",MID(TRIM(D74),SEARCH(" o ",TRIM(D74))+3,99)&amp;" ")-1)))/2,IFERROR(VALUE(LEFT(TRIM(D74),FIND(" ",TRIM(D74)&amp;" ")-1)),""))))</f>
        <v/>
      </c>
    </row>
    <row r="75">
      <c r="A75" s="6" t="n"/>
      <c r="B75" s="7" t="n"/>
      <c r="C75" s="7" t="n"/>
      <c r="D75" s="7" t="n"/>
      <c r="E75" s="7" t="n"/>
      <c r="G75" s="8">
        <f>IF(TRIM(B75)="","",IFERROR(VALUE(B75),IFERROR((VALUE(LEFT(TRIM(B75),SEARCH(" o ",TRIM(B75))-1))+VALUE(LEFT(MID(TRIM(B75),SEARCH(" o ",TRIM(B75))+3,99),FIND(" ",MID(TRIM(B75),SEARCH(" o ",TRIM(B75))+3,99)&amp;" ")-1)))/2,IFERROR(VALUE(LEFT(TRIM(B75),FIND(" ",TRIM(B75)&amp;" ")-1)),""))))</f>
        <v/>
      </c>
      <c r="H75" s="8">
        <f>IF(TRIM(C75)="","",IFERROR(VALUE(C75),IFERROR((VALUE(LEFT(TRIM(C75),SEARCH(" o ",TRIM(C75))-1))+VALUE(LEFT(MID(TRIM(C75),SEARCH(" o ",TRIM(C75))+3,99),FIND(" ",MID(TRIM(C75),SEARCH(" o ",TRIM(C75))+3,99)&amp;" ")-1)))/2,IFERROR(VALUE(LEFT(TRIM(C75),FIND(" ",TRIM(C75)&amp;" ")-1)),""))))</f>
        <v/>
      </c>
      <c r="I75" s="8">
        <f>IF(TRIM(D75)="","",IFERROR(VALUE(D75),IFERROR((VALUE(LEFT(TRIM(D75),SEARCH(" o ",TRIM(D75))-1))+VALUE(LEFT(MID(TRIM(D75),SEARCH(" o ",TRIM(D75))+3,99),FIND(" ",MID(TRIM(D75),SEARCH(" o ",TRIM(D75))+3,99)&amp;" ")-1)))/2,IFERROR(VALUE(LEFT(TRIM(D75),FIND(" ",TRIM(D75)&amp;" ")-1)),""))))</f>
        <v/>
      </c>
    </row>
    <row r="76">
      <c r="A76" s="6" t="n"/>
      <c r="B76" s="7" t="n"/>
      <c r="C76" s="7" t="n"/>
      <c r="D76" s="7" t="n"/>
      <c r="E76" s="7" t="n"/>
      <c r="G76" s="8">
        <f>IF(TRIM(B76)="","",IFERROR(VALUE(B76),IFERROR((VALUE(LEFT(TRIM(B76),SEARCH(" o ",TRIM(B76))-1))+VALUE(LEFT(MID(TRIM(B76),SEARCH(" o ",TRIM(B76))+3,99),FIND(" ",MID(TRIM(B76),SEARCH(" o ",TRIM(B76))+3,99)&amp;" ")-1)))/2,IFERROR(VALUE(LEFT(TRIM(B76),FIND(" ",TRIM(B76)&amp;" ")-1)),""))))</f>
        <v/>
      </c>
      <c r="H76" s="8">
        <f>IF(TRIM(C76)="","",IFERROR(VALUE(C76),IFERROR((VALUE(LEFT(TRIM(C76),SEARCH(" o ",TRIM(C76))-1))+VALUE(LEFT(MID(TRIM(C76),SEARCH(" o ",TRIM(C76))+3,99),FIND(" ",MID(TRIM(C76),SEARCH(" o ",TRIM(C76))+3,99)&amp;" ")-1)))/2,IFERROR(VALUE(LEFT(TRIM(C76),FIND(" ",TRIM(C76)&amp;" ")-1)),""))))</f>
        <v/>
      </c>
      <c r="I76" s="8">
        <f>IF(TRIM(D76)="","",IFERROR(VALUE(D76),IFERROR((VALUE(LEFT(TRIM(D76),SEARCH(" o ",TRIM(D76))-1))+VALUE(LEFT(MID(TRIM(D76),SEARCH(" o ",TRIM(D76))+3,99),FIND(" ",MID(TRIM(D76),SEARCH(" o ",TRIM(D76))+3,99)&amp;" ")-1)))/2,IFERROR(VALUE(LEFT(TRIM(D76),FIND(" ",TRIM(D76)&amp;" ")-1)),""))))</f>
        <v/>
      </c>
    </row>
    <row r="77">
      <c r="A77" s="6" t="n"/>
      <c r="B77" s="7" t="n"/>
      <c r="C77" s="7" t="n"/>
      <c r="D77" s="7" t="n"/>
      <c r="E77" s="7" t="n"/>
      <c r="G77" s="8">
        <f>IF(TRIM(B77)="","",IFERROR(VALUE(B77),IFERROR((VALUE(LEFT(TRIM(B77),SEARCH(" o ",TRIM(B77))-1))+VALUE(LEFT(MID(TRIM(B77),SEARCH(" o ",TRIM(B77))+3,99),FIND(" ",MID(TRIM(B77),SEARCH(" o ",TRIM(B77))+3,99)&amp;" ")-1)))/2,IFERROR(VALUE(LEFT(TRIM(B77),FIND(" ",TRIM(B77)&amp;" ")-1)),""))))</f>
        <v/>
      </c>
      <c r="H77" s="8">
        <f>IF(TRIM(C77)="","",IFERROR(VALUE(C77),IFERROR((VALUE(LEFT(TRIM(C77),SEARCH(" o ",TRIM(C77))-1))+VALUE(LEFT(MID(TRIM(C77),SEARCH(" o ",TRIM(C77))+3,99),FIND(" ",MID(TRIM(C77),SEARCH(" o ",TRIM(C77))+3,99)&amp;" ")-1)))/2,IFERROR(VALUE(LEFT(TRIM(C77),FIND(" ",TRIM(C77)&amp;" ")-1)),""))))</f>
        <v/>
      </c>
      <c r="I77" s="8">
        <f>IF(TRIM(D77)="","",IFERROR(VALUE(D77),IFERROR((VALUE(LEFT(TRIM(D77),SEARCH(" o ",TRIM(D77))-1))+VALUE(LEFT(MID(TRIM(D77),SEARCH(" o ",TRIM(D77))+3,99),FIND(" ",MID(TRIM(D77),SEARCH(" o ",TRIM(D77))+3,99)&amp;" ")-1)))/2,IFERROR(VALUE(LEFT(TRIM(D77),FIND(" ",TRIM(D77)&amp;" ")-1)),""))))</f>
        <v/>
      </c>
    </row>
    <row r="78">
      <c r="A78" s="6" t="n"/>
      <c r="B78" s="7" t="n"/>
      <c r="C78" s="7" t="n"/>
      <c r="D78" s="7" t="n"/>
      <c r="E78" s="7" t="n"/>
      <c r="G78" s="8">
        <f>IF(TRIM(B78)="","",IFERROR(VALUE(B78),IFERROR((VALUE(LEFT(TRIM(B78),SEARCH(" o ",TRIM(B78))-1))+VALUE(LEFT(MID(TRIM(B78),SEARCH(" o ",TRIM(B78))+3,99),FIND(" ",MID(TRIM(B78),SEARCH(" o ",TRIM(B78))+3,99)&amp;" ")-1)))/2,IFERROR(VALUE(LEFT(TRIM(B78),FIND(" ",TRIM(B78)&amp;" ")-1)),""))))</f>
        <v/>
      </c>
      <c r="H78" s="8">
        <f>IF(TRIM(C78)="","",IFERROR(VALUE(C78),IFERROR((VALUE(LEFT(TRIM(C78),SEARCH(" o ",TRIM(C78))-1))+VALUE(LEFT(MID(TRIM(C78),SEARCH(" o ",TRIM(C78))+3,99),FIND(" ",MID(TRIM(C78),SEARCH(" o ",TRIM(C78))+3,99)&amp;" ")-1)))/2,IFERROR(VALUE(LEFT(TRIM(C78),FIND(" ",TRIM(C78)&amp;" ")-1)),""))))</f>
        <v/>
      </c>
      <c r="I78" s="8">
        <f>IF(TRIM(D78)="","",IFERROR(VALUE(D78),IFERROR((VALUE(LEFT(TRIM(D78),SEARCH(" o ",TRIM(D78))-1))+VALUE(LEFT(MID(TRIM(D78),SEARCH(" o ",TRIM(D78))+3,99),FIND(" ",MID(TRIM(D78),SEARCH(" o ",TRIM(D78))+3,99)&amp;" ")-1)))/2,IFERROR(VALUE(LEFT(TRIM(D78),FIND(" ",TRIM(D78)&amp;" ")-1)),""))))</f>
        <v/>
      </c>
    </row>
    <row r="79">
      <c r="A79" s="6" t="n"/>
      <c r="B79" s="7" t="n"/>
      <c r="C79" s="7" t="n"/>
      <c r="D79" s="7" t="n"/>
      <c r="E79" s="7" t="n"/>
      <c r="G79" s="8">
        <f>IF(TRIM(B79)="","",IFERROR(VALUE(B79),IFERROR((VALUE(LEFT(TRIM(B79),SEARCH(" o ",TRIM(B79))-1))+VALUE(LEFT(MID(TRIM(B79),SEARCH(" o ",TRIM(B79))+3,99),FIND(" ",MID(TRIM(B79),SEARCH(" o ",TRIM(B79))+3,99)&amp;" ")-1)))/2,IFERROR(VALUE(LEFT(TRIM(B79),FIND(" ",TRIM(B79)&amp;" ")-1)),""))))</f>
        <v/>
      </c>
      <c r="H79" s="8">
        <f>IF(TRIM(C79)="","",IFERROR(VALUE(C79),IFERROR((VALUE(LEFT(TRIM(C79),SEARCH(" o ",TRIM(C79))-1))+VALUE(LEFT(MID(TRIM(C79),SEARCH(" o ",TRIM(C79))+3,99),FIND(" ",MID(TRIM(C79),SEARCH(" o ",TRIM(C79))+3,99)&amp;" ")-1)))/2,IFERROR(VALUE(LEFT(TRIM(C79),FIND(" ",TRIM(C79)&amp;" ")-1)),""))))</f>
        <v/>
      </c>
      <c r="I79" s="8">
        <f>IF(TRIM(D79)="","",IFERROR(VALUE(D79),IFERROR((VALUE(LEFT(TRIM(D79),SEARCH(" o ",TRIM(D79))-1))+VALUE(LEFT(MID(TRIM(D79),SEARCH(" o ",TRIM(D79))+3,99),FIND(" ",MID(TRIM(D79),SEARCH(" o ",TRIM(D79))+3,99)&amp;" ")-1)))/2,IFERROR(VALUE(LEFT(TRIM(D79),FIND(" ",TRIM(D79)&amp;" ")-1)),""))))</f>
        <v/>
      </c>
    </row>
    <row r="80">
      <c r="A80" s="6" t="n"/>
      <c r="B80" s="7" t="n"/>
      <c r="C80" s="7" t="n"/>
      <c r="D80" s="7" t="n"/>
      <c r="E80" s="7" t="n"/>
      <c r="G80" s="8">
        <f>IF(TRIM(B80)="","",IFERROR(VALUE(B80),IFERROR((VALUE(LEFT(TRIM(B80),SEARCH(" o ",TRIM(B80))-1))+VALUE(LEFT(MID(TRIM(B80),SEARCH(" o ",TRIM(B80))+3,99),FIND(" ",MID(TRIM(B80),SEARCH(" o ",TRIM(B80))+3,99)&amp;" ")-1)))/2,IFERROR(VALUE(LEFT(TRIM(B80),FIND(" ",TRIM(B80)&amp;" ")-1)),""))))</f>
        <v/>
      </c>
      <c r="H80" s="8">
        <f>IF(TRIM(C80)="","",IFERROR(VALUE(C80),IFERROR((VALUE(LEFT(TRIM(C80),SEARCH(" o ",TRIM(C80))-1))+VALUE(LEFT(MID(TRIM(C80),SEARCH(" o ",TRIM(C80))+3,99),FIND(" ",MID(TRIM(C80),SEARCH(" o ",TRIM(C80))+3,99)&amp;" ")-1)))/2,IFERROR(VALUE(LEFT(TRIM(C80),FIND(" ",TRIM(C80)&amp;" ")-1)),""))))</f>
        <v/>
      </c>
      <c r="I80" s="8">
        <f>IF(TRIM(D80)="","",IFERROR(VALUE(D80),IFERROR((VALUE(LEFT(TRIM(D80),SEARCH(" o ",TRIM(D80))-1))+VALUE(LEFT(MID(TRIM(D80),SEARCH(" o ",TRIM(D80))+3,99),FIND(" ",MID(TRIM(D80),SEARCH(" o ",TRIM(D80))+3,99)&amp;" ")-1)))/2,IFERROR(VALUE(LEFT(TRIM(D80),FIND(" ",TRIM(D80)&amp;" ")-1)),""))))</f>
        <v/>
      </c>
    </row>
    <row r="81">
      <c r="A81" s="6" t="n"/>
      <c r="B81" s="7" t="n"/>
      <c r="C81" s="7" t="n"/>
      <c r="D81" s="7" t="n"/>
      <c r="E81" s="7" t="n"/>
      <c r="G81" s="8">
        <f>IF(TRIM(B81)="","",IFERROR(VALUE(B81),IFERROR((VALUE(LEFT(TRIM(B81),SEARCH(" o ",TRIM(B81))-1))+VALUE(LEFT(MID(TRIM(B81),SEARCH(" o ",TRIM(B81))+3,99),FIND(" ",MID(TRIM(B81),SEARCH(" o ",TRIM(B81))+3,99)&amp;" ")-1)))/2,IFERROR(VALUE(LEFT(TRIM(B81),FIND(" ",TRIM(B81)&amp;" ")-1)),""))))</f>
        <v/>
      </c>
      <c r="H81" s="8">
        <f>IF(TRIM(C81)="","",IFERROR(VALUE(C81),IFERROR((VALUE(LEFT(TRIM(C81),SEARCH(" o ",TRIM(C81))-1))+VALUE(LEFT(MID(TRIM(C81),SEARCH(" o ",TRIM(C81))+3,99),FIND(" ",MID(TRIM(C81),SEARCH(" o ",TRIM(C81))+3,99)&amp;" ")-1)))/2,IFERROR(VALUE(LEFT(TRIM(C81),FIND(" ",TRIM(C81)&amp;" ")-1)),""))))</f>
        <v/>
      </c>
      <c r="I81" s="8">
        <f>IF(TRIM(D81)="","",IFERROR(VALUE(D81),IFERROR((VALUE(LEFT(TRIM(D81),SEARCH(" o ",TRIM(D81))-1))+VALUE(LEFT(MID(TRIM(D81),SEARCH(" o ",TRIM(D81))+3,99),FIND(" ",MID(TRIM(D81),SEARCH(" o ",TRIM(D81))+3,99)&amp;" ")-1)))/2,IFERROR(VALUE(LEFT(TRIM(D81),FIND(" ",TRIM(D81)&amp;" ")-1)),""))))</f>
        <v/>
      </c>
    </row>
    <row r="82">
      <c r="A82" s="6" t="n"/>
      <c r="B82" s="7" t="n"/>
      <c r="C82" s="7" t="n"/>
      <c r="D82" s="7" t="n"/>
      <c r="E82" s="7" t="n"/>
      <c r="G82" s="8">
        <f>IF(TRIM(B82)="","",IFERROR(VALUE(B82),IFERROR((VALUE(LEFT(TRIM(B82),SEARCH(" o ",TRIM(B82))-1))+VALUE(LEFT(MID(TRIM(B82),SEARCH(" o ",TRIM(B82))+3,99),FIND(" ",MID(TRIM(B82),SEARCH(" o ",TRIM(B82))+3,99)&amp;" ")-1)))/2,IFERROR(VALUE(LEFT(TRIM(B82),FIND(" ",TRIM(B82)&amp;" ")-1)),""))))</f>
        <v/>
      </c>
      <c r="H82" s="8">
        <f>IF(TRIM(C82)="","",IFERROR(VALUE(C82),IFERROR((VALUE(LEFT(TRIM(C82),SEARCH(" o ",TRIM(C82))-1))+VALUE(LEFT(MID(TRIM(C82),SEARCH(" o ",TRIM(C82))+3,99),FIND(" ",MID(TRIM(C82),SEARCH(" o ",TRIM(C82))+3,99)&amp;" ")-1)))/2,IFERROR(VALUE(LEFT(TRIM(C82),FIND(" ",TRIM(C82)&amp;" ")-1)),""))))</f>
        <v/>
      </c>
      <c r="I82" s="8">
        <f>IF(TRIM(D82)="","",IFERROR(VALUE(D82),IFERROR((VALUE(LEFT(TRIM(D82),SEARCH(" o ",TRIM(D82))-1))+VALUE(LEFT(MID(TRIM(D82),SEARCH(" o ",TRIM(D82))+3,99),FIND(" ",MID(TRIM(D82),SEARCH(" o ",TRIM(D82))+3,99)&amp;" ")-1)))/2,IFERROR(VALUE(LEFT(TRIM(D82),FIND(" ",TRIM(D82)&amp;" ")-1)),""))))</f>
        <v/>
      </c>
    </row>
    <row r="83">
      <c r="A83" s="6" t="n"/>
      <c r="B83" s="7" t="n"/>
      <c r="C83" s="7" t="n"/>
      <c r="D83" s="7" t="n"/>
      <c r="E83" s="7" t="n"/>
      <c r="G83" s="8">
        <f>IF(TRIM(B83)="","",IFERROR(VALUE(B83),IFERROR((VALUE(LEFT(TRIM(B83),SEARCH(" o ",TRIM(B83))-1))+VALUE(LEFT(MID(TRIM(B83),SEARCH(" o ",TRIM(B83))+3,99),FIND(" ",MID(TRIM(B83),SEARCH(" o ",TRIM(B83))+3,99)&amp;" ")-1)))/2,IFERROR(VALUE(LEFT(TRIM(B83),FIND(" ",TRIM(B83)&amp;" ")-1)),""))))</f>
        <v/>
      </c>
      <c r="H83" s="8">
        <f>IF(TRIM(C83)="","",IFERROR(VALUE(C83),IFERROR((VALUE(LEFT(TRIM(C83),SEARCH(" o ",TRIM(C83))-1))+VALUE(LEFT(MID(TRIM(C83),SEARCH(" o ",TRIM(C83))+3,99),FIND(" ",MID(TRIM(C83),SEARCH(" o ",TRIM(C83))+3,99)&amp;" ")-1)))/2,IFERROR(VALUE(LEFT(TRIM(C83),FIND(" ",TRIM(C83)&amp;" ")-1)),""))))</f>
        <v/>
      </c>
      <c r="I83" s="8">
        <f>IF(TRIM(D83)="","",IFERROR(VALUE(D83),IFERROR((VALUE(LEFT(TRIM(D83),SEARCH(" o ",TRIM(D83))-1))+VALUE(LEFT(MID(TRIM(D83),SEARCH(" o ",TRIM(D83))+3,99),FIND(" ",MID(TRIM(D83),SEARCH(" o ",TRIM(D83))+3,99)&amp;" ")-1)))/2,IFERROR(VALUE(LEFT(TRIM(D83),FIND(" ",TRIM(D83)&amp;" ")-1)),""))))</f>
        <v/>
      </c>
    </row>
    <row r="84">
      <c r="A84" s="6" t="n"/>
      <c r="B84" s="7" t="n"/>
      <c r="C84" s="7" t="n"/>
      <c r="D84" s="7" t="n"/>
      <c r="E84" s="7" t="n"/>
      <c r="G84" s="8">
        <f>IF(TRIM(B84)="","",IFERROR(VALUE(B84),IFERROR((VALUE(LEFT(TRIM(B84),SEARCH(" o ",TRIM(B84))-1))+VALUE(LEFT(MID(TRIM(B84),SEARCH(" o ",TRIM(B84))+3,99),FIND(" ",MID(TRIM(B84),SEARCH(" o ",TRIM(B84))+3,99)&amp;" ")-1)))/2,IFERROR(VALUE(LEFT(TRIM(B84),FIND(" ",TRIM(B84)&amp;" ")-1)),""))))</f>
        <v/>
      </c>
      <c r="H84" s="8">
        <f>IF(TRIM(C84)="","",IFERROR(VALUE(C84),IFERROR((VALUE(LEFT(TRIM(C84),SEARCH(" o ",TRIM(C84))-1))+VALUE(LEFT(MID(TRIM(C84),SEARCH(" o ",TRIM(C84))+3,99),FIND(" ",MID(TRIM(C84),SEARCH(" o ",TRIM(C84))+3,99)&amp;" ")-1)))/2,IFERROR(VALUE(LEFT(TRIM(C84),FIND(" ",TRIM(C84)&amp;" ")-1)),""))))</f>
        <v/>
      </c>
      <c r="I84" s="8">
        <f>IF(TRIM(D84)="","",IFERROR(VALUE(D84),IFERROR((VALUE(LEFT(TRIM(D84),SEARCH(" o ",TRIM(D84))-1))+VALUE(LEFT(MID(TRIM(D84),SEARCH(" o ",TRIM(D84))+3,99),FIND(" ",MID(TRIM(D84),SEARCH(" o ",TRIM(D84))+3,99)&amp;" ")-1)))/2,IFERROR(VALUE(LEFT(TRIM(D84),FIND(" ",TRIM(D84)&amp;" ")-1)),""))))</f>
        <v/>
      </c>
    </row>
    <row r="85">
      <c r="A85" s="6" t="n"/>
      <c r="B85" s="7" t="n"/>
      <c r="C85" s="7" t="n"/>
      <c r="D85" s="7" t="n"/>
      <c r="E85" s="7" t="n"/>
      <c r="G85" s="8">
        <f>IF(TRIM(B85)="","",IFERROR(VALUE(B85),IFERROR((VALUE(LEFT(TRIM(B85),SEARCH(" o ",TRIM(B85))-1))+VALUE(LEFT(MID(TRIM(B85),SEARCH(" o ",TRIM(B85))+3,99),FIND(" ",MID(TRIM(B85),SEARCH(" o ",TRIM(B85))+3,99)&amp;" ")-1)))/2,IFERROR(VALUE(LEFT(TRIM(B85),FIND(" ",TRIM(B85)&amp;" ")-1)),""))))</f>
        <v/>
      </c>
      <c r="H85" s="8">
        <f>IF(TRIM(C85)="","",IFERROR(VALUE(C85),IFERROR((VALUE(LEFT(TRIM(C85),SEARCH(" o ",TRIM(C85))-1))+VALUE(LEFT(MID(TRIM(C85),SEARCH(" o ",TRIM(C85))+3,99),FIND(" ",MID(TRIM(C85),SEARCH(" o ",TRIM(C85))+3,99)&amp;" ")-1)))/2,IFERROR(VALUE(LEFT(TRIM(C85),FIND(" ",TRIM(C85)&amp;" ")-1)),""))))</f>
        <v/>
      </c>
      <c r="I85" s="8">
        <f>IF(TRIM(D85)="","",IFERROR(VALUE(D85),IFERROR((VALUE(LEFT(TRIM(D85),SEARCH(" o ",TRIM(D85))-1))+VALUE(LEFT(MID(TRIM(D85),SEARCH(" o ",TRIM(D85))+3,99),FIND(" ",MID(TRIM(D85),SEARCH(" o ",TRIM(D85))+3,99)&amp;" ")-1)))/2,IFERROR(VALUE(LEFT(TRIM(D85),FIND(" ",TRIM(D85)&amp;" ")-1)),""))))</f>
        <v/>
      </c>
    </row>
    <row r="86">
      <c r="A86" s="6" t="n"/>
      <c r="B86" s="7" t="n"/>
      <c r="C86" s="7" t="n"/>
      <c r="D86" s="7" t="n"/>
      <c r="E86" s="7" t="n"/>
      <c r="G86" s="8">
        <f>IF(TRIM(B86)="","",IFERROR(VALUE(B86),IFERROR((VALUE(LEFT(TRIM(B86),SEARCH(" o ",TRIM(B86))-1))+VALUE(LEFT(MID(TRIM(B86),SEARCH(" o ",TRIM(B86))+3,99),FIND(" ",MID(TRIM(B86),SEARCH(" o ",TRIM(B86))+3,99)&amp;" ")-1)))/2,IFERROR(VALUE(LEFT(TRIM(B86),FIND(" ",TRIM(B86)&amp;" ")-1)),""))))</f>
        <v/>
      </c>
      <c r="H86" s="8">
        <f>IF(TRIM(C86)="","",IFERROR(VALUE(C86),IFERROR((VALUE(LEFT(TRIM(C86),SEARCH(" o ",TRIM(C86))-1))+VALUE(LEFT(MID(TRIM(C86),SEARCH(" o ",TRIM(C86))+3,99),FIND(" ",MID(TRIM(C86),SEARCH(" o ",TRIM(C86))+3,99)&amp;" ")-1)))/2,IFERROR(VALUE(LEFT(TRIM(C86),FIND(" ",TRIM(C86)&amp;" ")-1)),""))))</f>
        <v/>
      </c>
      <c r="I86" s="8">
        <f>IF(TRIM(D86)="","",IFERROR(VALUE(D86),IFERROR((VALUE(LEFT(TRIM(D86),SEARCH(" o ",TRIM(D86))-1))+VALUE(LEFT(MID(TRIM(D86),SEARCH(" o ",TRIM(D86))+3,99),FIND(" ",MID(TRIM(D86),SEARCH(" o ",TRIM(D86))+3,99)&amp;" ")-1)))/2,IFERROR(VALUE(LEFT(TRIM(D86),FIND(" ",TRIM(D86)&amp;" ")-1)),""))))</f>
        <v/>
      </c>
    </row>
    <row r="87">
      <c r="A87" s="6" t="n"/>
      <c r="B87" s="7" t="n"/>
      <c r="C87" s="7" t="n"/>
      <c r="D87" s="7" t="n"/>
      <c r="E87" s="7" t="n"/>
      <c r="G87" s="8">
        <f>IF(TRIM(B87)="","",IFERROR(VALUE(B87),IFERROR((VALUE(LEFT(TRIM(B87),SEARCH(" o ",TRIM(B87))-1))+VALUE(LEFT(MID(TRIM(B87),SEARCH(" o ",TRIM(B87))+3,99),FIND(" ",MID(TRIM(B87),SEARCH(" o ",TRIM(B87))+3,99)&amp;" ")-1)))/2,IFERROR(VALUE(LEFT(TRIM(B87),FIND(" ",TRIM(B87)&amp;" ")-1)),""))))</f>
        <v/>
      </c>
      <c r="H87" s="8">
        <f>IF(TRIM(C87)="","",IFERROR(VALUE(C87),IFERROR((VALUE(LEFT(TRIM(C87),SEARCH(" o ",TRIM(C87))-1))+VALUE(LEFT(MID(TRIM(C87),SEARCH(" o ",TRIM(C87))+3,99),FIND(" ",MID(TRIM(C87),SEARCH(" o ",TRIM(C87))+3,99)&amp;" ")-1)))/2,IFERROR(VALUE(LEFT(TRIM(C87),FIND(" ",TRIM(C87)&amp;" ")-1)),""))))</f>
        <v/>
      </c>
      <c r="I87" s="8">
        <f>IF(TRIM(D87)="","",IFERROR(VALUE(D87),IFERROR((VALUE(LEFT(TRIM(D87),SEARCH(" o ",TRIM(D87))-1))+VALUE(LEFT(MID(TRIM(D87),SEARCH(" o ",TRIM(D87))+3,99),FIND(" ",MID(TRIM(D87),SEARCH(" o ",TRIM(D87))+3,99)&amp;" ")-1)))/2,IFERROR(VALUE(LEFT(TRIM(D87),FIND(" ",TRIM(D87)&amp;" ")-1)),""))))</f>
        <v/>
      </c>
    </row>
    <row r="88">
      <c r="A88" s="6" t="n"/>
      <c r="B88" s="7" t="n"/>
      <c r="C88" s="7" t="n"/>
      <c r="D88" s="7" t="n"/>
      <c r="E88" s="7" t="n"/>
      <c r="G88" s="8">
        <f>IF(TRIM(B88)="","",IFERROR(VALUE(B88),IFERROR((VALUE(LEFT(TRIM(B88),SEARCH(" o ",TRIM(B88))-1))+VALUE(LEFT(MID(TRIM(B88),SEARCH(" o ",TRIM(B88))+3,99),FIND(" ",MID(TRIM(B88),SEARCH(" o ",TRIM(B88))+3,99)&amp;" ")-1)))/2,IFERROR(VALUE(LEFT(TRIM(B88),FIND(" ",TRIM(B88)&amp;" ")-1)),""))))</f>
        <v/>
      </c>
      <c r="H88" s="8">
        <f>IF(TRIM(C88)="","",IFERROR(VALUE(C88),IFERROR((VALUE(LEFT(TRIM(C88),SEARCH(" o ",TRIM(C88))-1))+VALUE(LEFT(MID(TRIM(C88),SEARCH(" o ",TRIM(C88))+3,99),FIND(" ",MID(TRIM(C88),SEARCH(" o ",TRIM(C88))+3,99)&amp;" ")-1)))/2,IFERROR(VALUE(LEFT(TRIM(C88),FIND(" ",TRIM(C88)&amp;" ")-1)),""))))</f>
        <v/>
      </c>
      <c r="I88" s="8">
        <f>IF(TRIM(D88)="","",IFERROR(VALUE(D88),IFERROR((VALUE(LEFT(TRIM(D88),SEARCH(" o ",TRIM(D88))-1))+VALUE(LEFT(MID(TRIM(D88),SEARCH(" o ",TRIM(D88))+3,99),FIND(" ",MID(TRIM(D88),SEARCH(" o ",TRIM(D88))+3,99)&amp;" ")-1)))/2,IFERROR(VALUE(LEFT(TRIM(D88),FIND(" ",TRIM(D88)&amp;" ")-1)),""))))</f>
        <v/>
      </c>
    </row>
    <row r="89">
      <c r="A89" s="6" t="n"/>
      <c r="B89" s="7" t="n"/>
      <c r="C89" s="7" t="n"/>
      <c r="D89" s="7" t="n"/>
      <c r="E89" s="7" t="n"/>
      <c r="G89" s="8">
        <f>IF(TRIM(B89)="","",IFERROR(VALUE(B89),IFERROR((VALUE(LEFT(TRIM(B89),SEARCH(" o ",TRIM(B89))-1))+VALUE(LEFT(MID(TRIM(B89),SEARCH(" o ",TRIM(B89))+3,99),FIND(" ",MID(TRIM(B89),SEARCH(" o ",TRIM(B89))+3,99)&amp;" ")-1)))/2,IFERROR(VALUE(LEFT(TRIM(B89),FIND(" ",TRIM(B89)&amp;" ")-1)),""))))</f>
        <v/>
      </c>
      <c r="H89" s="8">
        <f>IF(TRIM(C89)="","",IFERROR(VALUE(C89),IFERROR((VALUE(LEFT(TRIM(C89),SEARCH(" o ",TRIM(C89))-1))+VALUE(LEFT(MID(TRIM(C89),SEARCH(" o ",TRIM(C89))+3,99),FIND(" ",MID(TRIM(C89),SEARCH(" o ",TRIM(C89))+3,99)&amp;" ")-1)))/2,IFERROR(VALUE(LEFT(TRIM(C89),FIND(" ",TRIM(C89)&amp;" ")-1)),""))))</f>
        <v/>
      </c>
      <c r="I89" s="8">
        <f>IF(TRIM(D89)="","",IFERROR(VALUE(D89),IFERROR((VALUE(LEFT(TRIM(D89),SEARCH(" o ",TRIM(D89))-1))+VALUE(LEFT(MID(TRIM(D89),SEARCH(" o ",TRIM(D89))+3,99),FIND(" ",MID(TRIM(D89),SEARCH(" o ",TRIM(D89))+3,99)&amp;" ")-1)))/2,IFERROR(VALUE(LEFT(TRIM(D89),FIND(" ",TRIM(D89)&amp;" ")-1)),""))))</f>
        <v/>
      </c>
    </row>
    <row r="90">
      <c r="A90" s="6" t="n"/>
      <c r="B90" s="7" t="n"/>
      <c r="C90" s="7" t="n"/>
      <c r="D90" s="7" t="n"/>
      <c r="E90" s="7" t="n"/>
      <c r="G90" s="8">
        <f>IF(TRIM(B90)="","",IFERROR(VALUE(B90),IFERROR((VALUE(LEFT(TRIM(B90),SEARCH(" o ",TRIM(B90))-1))+VALUE(LEFT(MID(TRIM(B90),SEARCH(" o ",TRIM(B90))+3,99),FIND(" ",MID(TRIM(B90),SEARCH(" o ",TRIM(B90))+3,99)&amp;" ")-1)))/2,IFERROR(VALUE(LEFT(TRIM(B90),FIND(" ",TRIM(B90)&amp;" ")-1)),""))))</f>
        <v/>
      </c>
      <c r="H90" s="8">
        <f>IF(TRIM(C90)="","",IFERROR(VALUE(C90),IFERROR((VALUE(LEFT(TRIM(C90),SEARCH(" o ",TRIM(C90))-1))+VALUE(LEFT(MID(TRIM(C90),SEARCH(" o ",TRIM(C90))+3,99),FIND(" ",MID(TRIM(C90),SEARCH(" o ",TRIM(C90))+3,99)&amp;" ")-1)))/2,IFERROR(VALUE(LEFT(TRIM(C90),FIND(" ",TRIM(C90)&amp;" ")-1)),""))))</f>
        <v/>
      </c>
      <c r="I90" s="8">
        <f>IF(TRIM(D90)="","",IFERROR(VALUE(D90),IFERROR((VALUE(LEFT(TRIM(D90),SEARCH(" o ",TRIM(D90))-1))+VALUE(LEFT(MID(TRIM(D90),SEARCH(" o ",TRIM(D90))+3,99),FIND(" ",MID(TRIM(D90),SEARCH(" o ",TRIM(D90))+3,99)&amp;" ")-1)))/2,IFERROR(VALUE(LEFT(TRIM(D90),FIND(" ",TRIM(D90)&amp;" ")-1)),""))))</f>
        <v/>
      </c>
    </row>
    <row r="91">
      <c r="A91" s="6" t="n"/>
      <c r="B91" s="7" t="n"/>
      <c r="C91" s="7" t="n"/>
      <c r="D91" s="7" t="n"/>
      <c r="E91" s="7" t="n"/>
      <c r="G91" s="8">
        <f>IF(TRIM(B91)="","",IFERROR(VALUE(B91),IFERROR((VALUE(LEFT(TRIM(B91),SEARCH(" o ",TRIM(B91))-1))+VALUE(LEFT(MID(TRIM(B91),SEARCH(" o ",TRIM(B91))+3,99),FIND(" ",MID(TRIM(B91),SEARCH(" o ",TRIM(B91))+3,99)&amp;" ")-1)))/2,IFERROR(VALUE(LEFT(TRIM(B91),FIND(" ",TRIM(B91)&amp;" ")-1)),""))))</f>
        <v/>
      </c>
      <c r="H91" s="8">
        <f>IF(TRIM(C91)="","",IFERROR(VALUE(C91),IFERROR((VALUE(LEFT(TRIM(C91),SEARCH(" o ",TRIM(C91))-1))+VALUE(LEFT(MID(TRIM(C91),SEARCH(" o ",TRIM(C91))+3,99),FIND(" ",MID(TRIM(C91),SEARCH(" o ",TRIM(C91))+3,99)&amp;" ")-1)))/2,IFERROR(VALUE(LEFT(TRIM(C91),FIND(" ",TRIM(C91)&amp;" ")-1)),""))))</f>
        <v/>
      </c>
      <c r="I91" s="8">
        <f>IF(TRIM(D91)="","",IFERROR(VALUE(D91),IFERROR((VALUE(LEFT(TRIM(D91),SEARCH(" o ",TRIM(D91))-1))+VALUE(LEFT(MID(TRIM(D91),SEARCH(" o ",TRIM(D91))+3,99),FIND(" ",MID(TRIM(D91),SEARCH(" o ",TRIM(D91))+3,99)&amp;" ")-1)))/2,IFERROR(VALUE(LEFT(TRIM(D91),FIND(" ",TRIM(D91)&amp;" ")-1)),""))))</f>
        <v/>
      </c>
    </row>
    <row r="92">
      <c r="A92" s="6" t="n"/>
      <c r="B92" s="7" t="n"/>
      <c r="C92" s="7" t="n"/>
      <c r="D92" s="7" t="n"/>
      <c r="E92" s="7" t="n"/>
      <c r="G92" s="8">
        <f>IF(TRIM(B92)="","",IFERROR(VALUE(B92),IFERROR((VALUE(LEFT(TRIM(B92),SEARCH(" o ",TRIM(B92))-1))+VALUE(LEFT(MID(TRIM(B92),SEARCH(" o ",TRIM(B92))+3,99),FIND(" ",MID(TRIM(B92),SEARCH(" o ",TRIM(B92))+3,99)&amp;" ")-1)))/2,IFERROR(VALUE(LEFT(TRIM(B92),FIND(" ",TRIM(B92)&amp;" ")-1)),""))))</f>
        <v/>
      </c>
      <c r="H92" s="8">
        <f>IF(TRIM(C92)="","",IFERROR(VALUE(C92),IFERROR((VALUE(LEFT(TRIM(C92),SEARCH(" o ",TRIM(C92))-1))+VALUE(LEFT(MID(TRIM(C92),SEARCH(" o ",TRIM(C92))+3,99),FIND(" ",MID(TRIM(C92),SEARCH(" o ",TRIM(C92))+3,99)&amp;" ")-1)))/2,IFERROR(VALUE(LEFT(TRIM(C92),FIND(" ",TRIM(C92)&amp;" ")-1)),""))))</f>
        <v/>
      </c>
      <c r="I92" s="8">
        <f>IF(TRIM(D92)="","",IFERROR(VALUE(D92),IFERROR((VALUE(LEFT(TRIM(D92),SEARCH(" o ",TRIM(D92))-1))+VALUE(LEFT(MID(TRIM(D92),SEARCH(" o ",TRIM(D92))+3,99),FIND(" ",MID(TRIM(D92),SEARCH(" o ",TRIM(D92))+3,99)&amp;" ")-1)))/2,IFERROR(VALUE(LEFT(TRIM(D92),FIND(" ",TRIM(D92)&amp;" ")-1)),""))))</f>
        <v/>
      </c>
    </row>
    <row r="93">
      <c r="A93" s="6" t="n"/>
      <c r="B93" s="7" t="n"/>
      <c r="C93" s="7" t="n"/>
      <c r="D93" s="7" t="n"/>
      <c r="E93" s="7" t="n"/>
      <c r="G93" s="8">
        <f>IF(TRIM(B93)="","",IFERROR(VALUE(B93),IFERROR((VALUE(LEFT(TRIM(B93),SEARCH(" o ",TRIM(B93))-1))+VALUE(LEFT(MID(TRIM(B93),SEARCH(" o ",TRIM(B93))+3,99),FIND(" ",MID(TRIM(B93),SEARCH(" o ",TRIM(B93))+3,99)&amp;" ")-1)))/2,IFERROR(VALUE(LEFT(TRIM(B93),FIND(" ",TRIM(B93)&amp;" ")-1)),""))))</f>
        <v/>
      </c>
      <c r="H93" s="8">
        <f>IF(TRIM(C93)="","",IFERROR(VALUE(C93),IFERROR((VALUE(LEFT(TRIM(C93),SEARCH(" o ",TRIM(C93))-1))+VALUE(LEFT(MID(TRIM(C93),SEARCH(" o ",TRIM(C93))+3,99),FIND(" ",MID(TRIM(C93),SEARCH(" o ",TRIM(C93))+3,99)&amp;" ")-1)))/2,IFERROR(VALUE(LEFT(TRIM(C93),FIND(" ",TRIM(C93)&amp;" ")-1)),""))))</f>
        <v/>
      </c>
      <c r="I93" s="8">
        <f>IF(TRIM(D93)="","",IFERROR(VALUE(D93),IFERROR((VALUE(LEFT(TRIM(D93),SEARCH(" o ",TRIM(D93))-1))+VALUE(LEFT(MID(TRIM(D93),SEARCH(" o ",TRIM(D93))+3,99),FIND(" ",MID(TRIM(D93),SEARCH(" o ",TRIM(D93))+3,99)&amp;" ")-1)))/2,IFERROR(VALUE(LEFT(TRIM(D93),FIND(" ",TRIM(D93)&amp;" ")-1)),""))))</f>
        <v/>
      </c>
    </row>
    <row r="94">
      <c r="A94" s="6" t="n"/>
      <c r="B94" s="7" t="n"/>
      <c r="C94" s="7" t="n"/>
      <c r="D94" s="7" t="n"/>
      <c r="E94" s="7" t="n"/>
      <c r="G94" s="8">
        <f>IF(TRIM(B94)="","",IFERROR(VALUE(B94),IFERROR((VALUE(LEFT(TRIM(B94),SEARCH(" o ",TRIM(B94))-1))+VALUE(LEFT(MID(TRIM(B94),SEARCH(" o ",TRIM(B94))+3,99),FIND(" ",MID(TRIM(B94),SEARCH(" o ",TRIM(B94))+3,99)&amp;" ")-1)))/2,IFERROR(VALUE(LEFT(TRIM(B94),FIND(" ",TRIM(B94)&amp;" ")-1)),""))))</f>
        <v/>
      </c>
      <c r="H94" s="8">
        <f>IF(TRIM(C94)="","",IFERROR(VALUE(C94),IFERROR((VALUE(LEFT(TRIM(C94),SEARCH(" o ",TRIM(C94))-1))+VALUE(LEFT(MID(TRIM(C94),SEARCH(" o ",TRIM(C94))+3,99),FIND(" ",MID(TRIM(C94),SEARCH(" o ",TRIM(C94))+3,99)&amp;" ")-1)))/2,IFERROR(VALUE(LEFT(TRIM(C94),FIND(" ",TRIM(C94)&amp;" ")-1)),""))))</f>
        <v/>
      </c>
      <c r="I94" s="8">
        <f>IF(TRIM(D94)="","",IFERROR(VALUE(D94),IFERROR((VALUE(LEFT(TRIM(D94),SEARCH(" o ",TRIM(D94))-1))+VALUE(LEFT(MID(TRIM(D94),SEARCH(" o ",TRIM(D94))+3,99),FIND(" ",MID(TRIM(D94),SEARCH(" o ",TRIM(D94))+3,99)&amp;" ")-1)))/2,IFERROR(VALUE(LEFT(TRIM(D94),FIND(" ",TRIM(D94)&amp;" ")-1)),""))))</f>
        <v/>
      </c>
    </row>
    <row r="95">
      <c r="A95" s="6" t="n"/>
      <c r="B95" s="7" t="n"/>
      <c r="C95" s="7" t="n"/>
      <c r="D95" s="7" t="n"/>
      <c r="E95" s="7" t="n"/>
      <c r="G95" s="8">
        <f>IF(TRIM(B95)="","",IFERROR(VALUE(B95),IFERROR((VALUE(LEFT(TRIM(B95),SEARCH(" o ",TRIM(B95))-1))+VALUE(LEFT(MID(TRIM(B95),SEARCH(" o ",TRIM(B95))+3,99),FIND(" ",MID(TRIM(B95),SEARCH(" o ",TRIM(B95))+3,99)&amp;" ")-1)))/2,IFERROR(VALUE(LEFT(TRIM(B95),FIND(" ",TRIM(B95)&amp;" ")-1)),""))))</f>
        <v/>
      </c>
      <c r="H95" s="8">
        <f>IF(TRIM(C95)="","",IFERROR(VALUE(C95),IFERROR((VALUE(LEFT(TRIM(C95),SEARCH(" o ",TRIM(C95))-1))+VALUE(LEFT(MID(TRIM(C95),SEARCH(" o ",TRIM(C95))+3,99),FIND(" ",MID(TRIM(C95),SEARCH(" o ",TRIM(C95))+3,99)&amp;" ")-1)))/2,IFERROR(VALUE(LEFT(TRIM(C95),FIND(" ",TRIM(C95)&amp;" ")-1)),""))))</f>
        <v/>
      </c>
      <c r="I95" s="8">
        <f>IF(TRIM(D95)="","",IFERROR(VALUE(D95),IFERROR((VALUE(LEFT(TRIM(D95),SEARCH(" o ",TRIM(D95))-1))+VALUE(LEFT(MID(TRIM(D95),SEARCH(" o ",TRIM(D95))+3,99),FIND(" ",MID(TRIM(D95),SEARCH(" o ",TRIM(D95))+3,99)&amp;" ")-1)))/2,IFERROR(VALUE(LEFT(TRIM(D95),FIND(" ",TRIM(D95)&amp;" ")-1)),""))))</f>
        <v/>
      </c>
    </row>
    <row r="96">
      <c r="A96" s="6" t="n"/>
      <c r="B96" s="7" t="n"/>
      <c r="C96" s="7" t="n"/>
      <c r="D96" s="7" t="n"/>
      <c r="E96" s="7" t="n"/>
      <c r="G96" s="8">
        <f>IF(TRIM(B96)="","",IFERROR(VALUE(B96),IFERROR((VALUE(LEFT(TRIM(B96),SEARCH(" o ",TRIM(B96))-1))+VALUE(LEFT(MID(TRIM(B96),SEARCH(" o ",TRIM(B96))+3,99),FIND(" ",MID(TRIM(B96),SEARCH(" o ",TRIM(B96))+3,99)&amp;" ")-1)))/2,IFERROR(VALUE(LEFT(TRIM(B96),FIND(" ",TRIM(B96)&amp;" ")-1)),""))))</f>
        <v/>
      </c>
      <c r="H96" s="8">
        <f>IF(TRIM(C96)="","",IFERROR(VALUE(C96),IFERROR((VALUE(LEFT(TRIM(C96),SEARCH(" o ",TRIM(C96))-1))+VALUE(LEFT(MID(TRIM(C96),SEARCH(" o ",TRIM(C96))+3,99),FIND(" ",MID(TRIM(C96),SEARCH(" o ",TRIM(C96))+3,99)&amp;" ")-1)))/2,IFERROR(VALUE(LEFT(TRIM(C96),FIND(" ",TRIM(C96)&amp;" ")-1)),""))))</f>
        <v/>
      </c>
      <c r="I96" s="8">
        <f>IF(TRIM(D96)="","",IFERROR(VALUE(D96),IFERROR((VALUE(LEFT(TRIM(D96),SEARCH(" o ",TRIM(D96))-1))+VALUE(LEFT(MID(TRIM(D96),SEARCH(" o ",TRIM(D96))+3,99),FIND(" ",MID(TRIM(D96),SEARCH(" o ",TRIM(D96))+3,99)&amp;" ")-1)))/2,IFERROR(VALUE(LEFT(TRIM(D96),FIND(" ",TRIM(D96)&amp;" ")-1)),""))))</f>
        <v/>
      </c>
    </row>
    <row r="97">
      <c r="A97" s="6" t="n"/>
      <c r="B97" s="7" t="n"/>
      <c r="C97" s="7" t="n"/>
      <c r="D97" s="7" t="n"/>
      <c r="E97" s="7" t="n"/>
      <c r="G97" s="8">
        <f>IF(TRIM(B97)="","",IFERROR(VALUE(B97),IFERROR((VALUE(LEFT(TRIM(B97),SEARCH(" o ",TRIM(B97))-1))+VALUE(LEFT(MID(TRIM(B97),SEARCH(" o ",TRIM(B97))+3,99),FIND(" ",MID(TRIM(B97),SEARCH(" o ",TRIM(B97))+3,99)&amp;" ")-1)))/2,IFERROR(VALUE(LEFT(TRIM(B97),FIND(" ",TRIM(B97)&amp;" ")-1)),""))))</f>
        <v/>
      </c>
      <c r="H97" s="8">
        <f>IF(TRIM(C97)="","",IFERROR(VALUE(C97),IFERROR((VALUE(LEFT(TRIM(C97),SEARCH(" o ",TRIM(C97))-1))+VALUE(LEFT(MID(TRIM(C97),SEARCH(" o ",TRIM(C97))+3,99),FIND(" ",MID(TRIM(C97),SEARCH(" o ",TRIM(C97))+3,99)&amp;" ")-1)))/2,IFERROR(VALUE(LEFT(TRIM(C97),FIND(" ",TRIM(C97)&amp;" ")-1)),""))))</f>
        <v/>
      </c>
      <c r="I97" s="8">
        <f>IF(TRIM(D97)="","",IFERROR(VALUE(D97),IFERROR((VALUE(LEFT(TRIM(D97),SEARCH(" o ",TRIM(D97))-1))+VALUE(LEFT(MID(TRIM(D97),SEARCH(" o ",TRIM(D97))+3,99),FIND(" ",MID(TRIM(D97),SEARCH(" o ",TRIM(D97))+3,99)&amp;" ")-1)))/2,IFERROR(VALUE(LEFT(TRIM(D97),FIND(" ",TRIM(D97)&amp;" ")-1)),""))))</f>
        <v/>
      </c>
    </row>
    <row r="98">
      <c r="A98" s="6" t="n"/>
      <c r="B98" s="7" t="n"/>
      <c r="C98" s="7" t="n"/>
      <c r="D98" s="7" t="n"/>
      <c r="E98" s="7" t="n"/>
      <c r="G98" s="8">
        <f>IF(TRIM(B98)="","",IFERROR(VALUE(B98),IFERROR((VALUE(LEFT(TRIM(B98),SEARCH(" o ",TRIM(B98))-1))+VALUE(LEFT(MID(TRIM(B98),SEARCH(" o ",TRIM(B98))+3,99),FIND(" ",MID(TRIM(B98),SEARCH(" o ",TRIM(B98))+3,99)&amp;" ")-1)))/2,IFERROR(VALUE(LEFT(TRIM(B98),FIND(" ",TRIM(B98)&amp;" ")-1)),""))))</f>
        <v/>
      </c>
      <c r="H98" s="8">
        <f>IF(TRIM(C98)="","",IFERROR(VALUE(C98),IFERROR((VALUE(LEFT(TRIM(C98),SEARCH(" o ",TRIM(C98))-1))+VALUE(LEFT(MID(TRIM(C98),SEARCH(" o ",TRIM(C98))+3,99),FIND(" ",MID(TRIM(C98),SEARCH(" o ",TRIM(C98))+3,99)&amp;" ")-1)))/2,IFERROR(VALUE(LEFT(TRIM(C98),FIND(" ",TRIM(C98)&amp;" ")-1)),""))))</f>
        <v/>
      </c>
      <c r="I98" s="8">
        <f>IF(TRIM(D98)="","",IFERROR(VALUE(D98),IFERROR((VALUE(LEFT(TRIM(D98),SEARCH(" o ",TRIM(D98))-1))+VALUE(LEFT(MID(TRIM(D98),SEARCH(" o ",TRIM(D98))+3,99),FIND(" ",MID(TRIM(D98),SEARCH(" o ",TRIM(D98))+3,99)&amp;" ")-1)))/2,IFERROR(VALUE(LEFT(TRIM(D98),FIND(" ",TRIM(D98)&amp;" ")-1)),""))))</f>
        <v/>
      </c>
    </row>
    <row r="99">
      <c r="A99" s="6" t="n"/>
      <c r="B99" s="7" t="n"/>
      <c r="C99" s="7" t="n"/>
      <c r="D99" s="7" t="n"/>
      <c r="E99" s="7" t="n"/>
      <c r="G99" s="8">
        <f>IF(TRIM(B99)="","",IFERROR(VALUE(B99),IFERROR((VALUE(LEFT(TRIM(B99),SEARCH(" o ",TRIM(B99))-1))+VALUE(LEFT(MID(TRIM(B99),SEARCH(" o ",TRIM(B99))+3,99),FIND(" ",MID(TRIM(B99),SEARCH(" o ",TRIM(B99))+3,99)&amp;" ")-1)))/2,IFERROR(VALUE(LEFT(TRIM(B99),FIND(" ",TRIM(B99)&amp;" ")-1)),""))))</f>
        <v/>
      </c>
      <c r="H99" s="8">
        <f>IF(TRIM(C99)="","",IFERROR(VALUE(C99),IFERROR((VALUE(LEFT(TRIM(C99),SEARCH(" o ",TRIM(C99))-1))+VALUE(LEFT(MID(TRIM(C99),SEARCH(" o ",TRIM(C99))+3,99),FIND(" ",MID(TRIM(C99),SEARCH(" o ",TRIM(C99))+3,99)&amp;" ")-1)))/2,IFERROR(VALUE(LEFT(TRIM(C99),FIND(" ",TRIM(C99)&amp;" ")-1)),""))))</f>
        <v/>
      </c>
      <c r="I99" s="8">
        <f>IF(TRIM(D99)="","",IFERROR(VALUE(D99),IFERROR((VALUE(LEFT(TRIM(D99),SEARCH(" o ",TRIM(D99))-1))+VALUE(LEFT(MID(TRIM(D99),SEARCH(" o ",TRIM(D99))+3,99),FIND(" ",MID(TRIM(D99),SEARCH(" o ",TRIM(D99))+3,99)&amp;" ")-1)))/2,IFERROR(VALUE(LEFT(TRIM(D99),FIND(" ",TRIM(D99)&amp;" ")-1)),""))))</f>
        <v/>
      </c>
    </row>
    <row r="100">
      <c r="A100" s="6" t="n"/>
      <c r="B100" s="7" t="n"/>
      <c r="C100" s="7" t="n"/>
      <c r="D100" s="7" t="n"/>
      <c r="E100" s="7" t="n"/>
      <c r="G100" s="8">
        <f>IF(TRIM(B100)="","",IFERROR(VALUE(B100),IFERROR((VALUE(LEFT(TRIM(B100),SEARCH(" o ",TRIM(B100))-1))+VALUE(LEFT(MID(TRIM(B100),SEARCH(" o ",TRIM(B100))+3,99),FIND(" ",MID(TRIM(B100),SEARCH(" o ",TRIM(B100))+3,99)&amp;" ")-1)))/2,IFERROR(VALUE(LEFT(TRIM(B100),FIND(" ",TRIM(B100)&amp;" ")-1)),""))))</f>
        <v/>
      </c>
      <c r="H100" s="8">
        <f>IF(TRIM(C100)="","",IFERROR(VALUE(C100),IFERROR((VALUE(LEFT(TRIM(C100),SEARCH(" o ",TRIM(C100))-1))+VALUE(LEFT(MID(TRIM(C100),SEARCH(" o ",TRIM(C100))+3,99),FIND(" ",MID(TRIM(C100),SEARCH(" o ",TRIM(C100))+3,99)&amp;" ")-1)))/2,IFERROR(VALUE(LEFT(TRIM(C100),FIND(" ",TRIM(C100)&amp;" ")-1)),""))))</f>
        <v/>
      </c>
      <c r="I100" s="8">
        <f>IF(TRIM(D100)="","",IFERROR(VALUE(D100),IFERROR((VALUE(LEFT(TRIM(D100),SEARCH(" o ",TRIM(D100))-1))+VALUE(LEFT(MID(TRIM(D100),SEARCH(" o ",TRIM(D100))+3,99),FIND(" ",MID(TRIM(D100),SEARCH(" o ",TRIM(D100))+3,99)&amp;" ")-1)))/2,IFERROR(VALUE(LEFT(TRIM(D100),FIND(" ",TRIM(D100)&amp;" ")-1)),""))))</f>
        <v/>
      </c>
    </row>
    <row r="101">
      <c r="A101" s="6" t="n"/>
      <c r="B101" s="7" t="n"/>
      <c r="C101" s="7" t="n"/>
      <c r="D101" s="7" t="n"/>
      <c r="E101" s="7" t="n"/>
      <c r="G101" s="8">
        <f>IF(TRIM(B101)="","",IFERROR(VALUE(B101),IFERROR((VALUE(LEFT(TRIM(B101),SEARCH(" o ",TRIM(B101))-1))+VALUE(LEFT(MID(TRIM(B101),SEARCH(" o ",TRIM(B101))+3,99),FIND(" ",MID(TRIM(B101),SEARCH(" o ",TRIM(B101))+3,99)&amp;" ")-1)))/2,IFERROR(VALUE(LEFT(TRIM(B101),FIND(" ",TRIM(B101)&amp;" ")-1)),""))))</f>
        <v/>
      </c>
      <c r="H101" s="8">
        <f>IF(TRIM(C101)="","",IFERROR(VALUE(C101),IFERROR((VALUE(LEFT(TRIM(C101),SEARCH(" o ",TRIM(C101))-1))+VALUE(LEFT(MID(TRIM(C101),SEARCH(" o ",TRIM(C101))+3,99),FIND(" ",MID(TRIM(C101),SEARCH(" o ",TRIM(C101))+3,99)&amp;" ")-1)))/2,IFERROR(VALUE(LEFT(TRIM(C101),FIND(" ",TRIM(C101)&amp;" ")-1)),""))))</f>
        <v/>
      </c>
      <c r="I101" s="8">
        <f>IF(TRIM(D101)="","",IFERROR(VALUE(D101),IFERROR((VALUE(LEFT(TRIM(D101),SEARCH(" o ",TRIM(D101))-1))+VALUE(LEFT(MID(TRIM(D101),SEARCH(" o ",TRIM(D101))+3,99),FIND(" ",MID(TRIM(D101),SEARCH(" o ",TRIM(D101))+3,99)&amp;" ")-1)))/2,IFERROR(VALUE(LEFT(TRIM(D101),FIND(" ",TRIM(D101)&amp;" ")-1)),""))))</f>
        <v/>
      </c>
    </row>
    <row r="102">
      <c r="A102" s="6" t="n"/>
      <c r="B102" s="7" t="n"/>
      <c r="C102" s="7" t="n"/>
      <c r="D102" s="7" t="n"/>
      <c r="E102" s="7" t="n"/>
      <c r="G102" s="8">
        <f>IF(TRIM(B102)="","",IFERROR(VALUE(B102),IFERROR((VALUE(LEFT(TRIM(B102),SEARCH(" o ",TRIM(B102))-1))+VALUE(LEFT(MID(TRIM(B102),SEARCH(" o ",TRIM(B102))+3,99),FIND(" ",MID(TRIM(B102),SEARCH(" o ",TRIM(B102))+3,99)&amp;" ")-1)))/2,IFERROR(VALUE(LEFT(TRIM(B102),FIND(" ",TRIM(B102)&amp;" ")-1)),""))))</f>
        <v/>
      </c>
      <c r="H102" s="8">
        <f>IF(TRIM(C102)="","",IFERROR(VALUE(C102),IFERROR((VALUE(LEFT(TRIM(C102),SEARCH(" o ",TRIM(C102))-1))+VALUE(LEFT(MID(TRIM(C102),SEARCH(" o ",TRIM(C102))+3,99),FIND(" ",MID(TRIM(C102),SEARCH(" o ",TRIM(C102))+3,99)&amp;" ")-1)))/2,IFERROR(VALUE(LEFT(TRIM(C102),FIND(" ",TRIM(C102)&amp;" ")-1)),""))))</f>
        <v/>
      </c>
      <c r="I102" s="8">
        <f>IF(TRIM(D102)="","",IFERROR(VALUE(D102),IFERROR((VALUE(LEFT(TRIM(D102),SEARCH(" o ",TRIM(D102))-1))+VALUE(LEFT(MID(TRIM(D102),SEARCH(" o ",TRIM(D102))+3,99),FIND(" ",MID(TRIM(D102),SEARCH(" o ",TRIM(D102))+3,99)&amp;" ")-1)))/2,IFERROR(VALUE(LEFT(TRIM(D102),FIND(" ",TRIM(D102)&amp;" ")-1)),""))))</f>
        <v/>
      </c>
    </row>
    <row r="103">
      <c r="A103" s="6" t="n"/>
      <c r="B103" s="7" t="n"/>
      <c r="C103" s="7" t="n"/>
      <c r="D103" s="7" t="n"/>
      <c r="E103" s="7" t="n"/>
      <c r="G103" s="8">
        <f>IF(TRIM(B103)="","",IFERROR(VALUE(B103),IFERROR((VALUE(LEFT(TRIM(B103),SEARCH(" o ",TRIM(B103))-1))+VALUE(LEFT(MID(TRIM(B103),SEARCH(" o ",TRIM(B103))+3,99),FIND(" ",MID(TRIM(B103),SEARCH(" o ",TRIM(B103))+3,99)&amp;" ")-1)))/2,IFERROR(VALUE(LEFT(TRIM(B103),FIND(" ",TRIM(B103)&amp;" ")-1)),""))))</f>
        <v/>
      </c>
      <c r="H103" s="8">
        <f>IF(TRIM(C103)="","",IFERROR(VALUE(C103),IFERROR((VALUE(LEFT(TRIM(C103),SEARCH(" o ",TRIM(C103))-1))+VALUE(LEFT(MID(TRIM(C103),SEARCH(" o ",TRIM(C103))+3,99),FIND(" ",MID(TRIM(C103),SEARCH(" o ",TRIM(C103))+3,99)&amp;" ")-1)))/2,IFERROR(VALUE(LEFT(TRIM(C103),FIND(" ",TRIM(C103)&amp;" ")-1)),""))))</f>
        <v/>
      </c>
      <c r="I103" s="8">
        <f>IF(TRIM(D103)="","",IFERROR(VALUE(D103),IFERROR((VALUE(LEFT(TRIM(D103),SEARCH(" o ",TRIM(D103))-1))+VALUE(LEFT(MID(TRIM(D103),SEARCH(" o ",TRIM(D103))+3,99),FIND(" ",MID(TRIM(D103),SEARCH(" o ",TRIM(D103))+3,99)&amp;" ")-1)))/2,IFERROR(VALUE(LEFT(TRIM(D103),FIND(" ",TRIM(D103)&amp;" ")-1)),""))))</f>
        <v/>
      </c>
    </row>
    <row r="104">
      <c r="A104" s="6" t="n"/>
      <c r="B104" s="7" t="n"/>
      <c r="C104" s="7" t="n"/>
      <c r="D104" s="7" t="n"/>
      <c r="E104" s="7" t="n"/>
      <c r="G104" s="8">
        <f>IF(TRIM(B104)="","",IFERROR(VALUE(B104),IFERROR((VALUE(LEFT(TRIM(B104),SEARCH(" o ",TRIM(B104))-1))+VALUE(LEFT(MID(TRIM(B104),SEARCH(" o ",TRIM(B104))+3,99),FIND(" ",MID(TRIM(B104),SEARCH(" o ",TRIM(B104))+3,99)&amp;" ")-1)))/2,IFERROR(VALUE(LEFT(TRIM(B104),FIND(" ",TRIM(B104)&amp;" ")-1)),""))))</f>
        <v/>
      </c>
      <c r="H104" s="8">
        <f>IF(TRIM(C104)="","",IFERROR(VALUE(C104),IFERROR((VALUE(LEFT(TRIM(C104),SEARCH(" o ",TRIM(C104))-1))+VALUE(LEFT(MID(TRIM(C104),SEARCH(" o ",TRIM(C104))+3,99),FIND(" ",MID(TRIM(C104),SEARCH(" o ",TRIM(C104))+3,99)&amp;" ")-1)))/2,IFERROR(VALUE(LEFT(TRIM(C104),FIND(" ",TRIM(C104)&amp;" ")-1)),""))))</f>
        <v/>
      </c>
      <c r="I104" s="8">
        <f>IF(TRIM(D104)="","",IFERROR(VALUE(D104),IFERROR((VALUE(LEFT(TRIM(D104),SEARCH(" o ",TRIM(D104))-1))+VALUE(LEFT(MID(TRIM(D104),SEARCH(" o ",TRIM(D104))+3,99),FIND(" ",MID(TRIM(D104),SEARCH(" o ",TRIM(D104))+3,99)&amp;" ")-1)))/2,IFERROR(VALUE(LEFT(TRIM(D104),FIND(" ",TRIM(D104)&amp;" ")-1)),""))))</f>
        <v/>
      </c>
    </row>
    <row r="105">
      <c r="A105" s="6" t="n"/>
      <c r="B105" s="7" t="n"/>
      <c r="C105" s="7" t="n"/>
      <c r="D105" s="7" t="n"/>
      <c r="E105" s="7" t="n"/>
      <c r="G105" s="8">
        <f>IF(TRIM(B105)="","",IFERROR(VALUE(B105),IFERROR((VALUE(LEFT(TRIM(B105),SEARCH(" o ",TRIM(B105))-1))+VALUE(LEFT(MID(TRIM(B105),SEARCH(" o ",TRIM(B105))+3,99),FIND(" ",MID(TRIM(B105),SEARCH(" o ",TRIM(B105))+3,99)&amp;" ")-1)))/2,IFERROR(VALUE(LEFT(TRIM(B105),FIND(" ",TRIM(B105)&amp;" ")-1)),""))))</f>
        <v/>
      </c>
      <c r="H105" s="8">
        <f>IF(TRIM(C105)="","",IFERROR(VALUE(C105),IFERROR((VALUE(LEFT(TRIM(C105),SEARCH(" o ",TRIM(C105))-1))+VALUE(LEFT(MID(TRIM(C105),SEARCH(" o ",TRIM(C105))+3,99),FIND(" ",MID(TRIM(C105),SEARCH(" o ",TRIM(C105))+3,99)&amp;" ")-1)))/2,IFERROR(VALUE(LEFT(TRIM(C105),FIND(" ",TRIM(C105)&amp;" ")-1)),""))))</f>
        <v/>
      </c>
      <c r="I105" s="8">
        <f>IF(TRIM(D105)="","",IFERROR(VALUE(D105),IFERROR((VALUE(LEFT(TRIM(D105),SEARCH(" o ",TRIM(D105))-1))+VALUE(LEFT(MID(TRIM(D105),SEARCH(" o ",TRIM(D105))+3,99),FIND(" ",MID(TRIM(D105),SEARCH(" o ",TRIM(D105))+3,99)&amp;" ")-1)))/2,IFERROR(VALUE(LEFT(TRIM(D105),FIND(" ",TRIM(D105)&amp;" ")-1)),""))))</f>
        <v/>
      </c>
    </row>
    <row r="106">
      <c r="A106" s="6" t="n"/>
      <c r="B106" s="7" t="n"/>
      <c r="C106" s="7" t="n"/>
      <c r="D106" s="7" t="n"/>
      <c r="E106" s="7" t="n"/>
      <c r="G106" s="8">
        <f>IF(TRIM(B106)="","",IFERROR(VALUE(B106),IFERROR((VALUE(LEFT(TRIM(B106),SEARCH(" o ",TRIM(B106))-1))+VALUE(LEFT(MID(TRIM(B106),SEARCH(" o ",TRIM(B106))+3,99),FIND(" ",MID(TRIM(B106),SEARCH(" o ",TRIM(B106))+3,99)&amp;" ")-1)))/2,IFERROR(VALUE(LEFT(TRIM(B106),FIND(" ",TRIM(B106)&amp;" ")-1)),""))))</f>
        <v/>
      </c>
      <c r="H106" s="8">
        <f>IF(TRIM(C106)="","",IFERROR(VALUE(C106),IFERROR((VALUE(LEFT(TRIM(C106),SEARCH(" o ",TRIM(C106))-1))+VALUE(LEFT(MID(TRIM(C106),SEARCH(" o ",TRIM(C106))+3,99),FIND(" ",MID(TRIM(C106),SEARCH(" o ",TRIM(C106))+3,99)&amp;" ")-1)))/2,IFERROR(VALUE(LEFT(TRIM(C106),FIND(" ",TRIM(C106)&amp;" ")-1)),""))))</f>
        <v/>
      </c>
      <c r="I106" s="8">
        <f>IF(TRIM(D106)="","",IFERROR(VALUE(D106),IFERROR((VALUE(LEFT(TRIM(D106),SEARCH(" o ",TRIM(D106))-1))+VALUE(LEFT(MID(TRIM(D106),SEARCH(" o ",TRIM(D106))+3,99),FIND(" ",MID(TRIM(D106),SEARCH(" o ",TRIM(D106))+3,99)&amp;" ")-1)))/2,IFERROR(VALUE(LEFT(TRIM(D106),FIND(" ",TRIM(D106)&amp;" ")-1)),""))))</f>
        <v/>
      </c>
    </row>
    <row r="107">
      <c r="A107" s="6" t="n"/>
      <c r="B107" s="7" t="n"/>
      <c r="C107" s="7" t="n"/>
      <c r="D107" s="7" t="n"/>
      <c r="E107" s="7" t="n"/>
      <c r="G107" s="8">
        <f>IF(TRIM(B107)="","",IFERROR(VALUE(B107),IFERROR((VALUE(LEFT(TRIM(B107),SEARCH(" o ",TRIM(B107))-1))+VALUE(LEFT(MID(TRIM(B107),SEARCH(" o ",TRIM(B107))+3,99),FIND(" ",MID(TRIM(B107),SEARCH(" o ",TRIM(B107))+3,99)&amp;" ")-1)))/2,IFERROR(VALUE(LEFT(TRIM(B107),FIND(" ",TRIM(B107)&amp;" ")-1)),""))))</f>
        <v/>
      </c>
      <c r="H107" s="8">
        <f>IF(TRIM(C107)="","",IFERROR(VALUE(C107),IFERROR((VALUE(LEFT(TRIM(C107),SEARCH(" o ",TRIM(C107))-1))+VALUE(LEFT(MID(TRIM(C107),SEARCH(" o ",TRIM(C107))+3,99),FIND(" ",MID(TRIM(C107),SEARCH(" o ",TRIM(C107))+3,99)&amp;" ")-1)))/2,IFERROR(VALUE(LEFT(TRIM(C107),FIND(" ",TRIM(C107)&amp;" ")-1)),""))))</f>
        <v/>
      </c>
      <c r="I107" s="8">
        <f>IF(TRIM(D107)="","",IFERROR(VALUE(D107),IFERROR((VALUE(LEFT(TRIM(D107),SEARCH(" o ",TRIM(D107))-1))+VALUE(LEFT(MID(TRIM(D107),SEARCH(" o ",TRIM(D107))+3,99),FIND(" ",MID(TRIM(D107),SEARCH(" o ",TRIM(D107))+3,99)&amp;" ")-1)))/2,IFERROR(VALUE(LEFT(TRIM(D107),FIND(" ",TRIM(D107)&amp;" ")-1)),""))))</f>
        <v/>
      </c>
    </row>
    <row r="108">
      <c r="A108" s="6" t="n"/>
      <c r="B108" s="7" t="n"/>
      <c r="C108" s="7" t="n"/>
      <c r="D108" s="7" t="n"/>
      <c r="E108" s="7" t="n"/>
      <c r="G108" s="8">
        <f>IF(TRIM(B108)="","",IFERROR(VALUE(B108),IFERROR((VALUE(LEFT(TRIM(B108),SEARCH(" o ",TRIM(B108))-1))+VALUE(LEFT(MID(TRIM(B108),SEARCH(" o ",TRIM(B108))+3,99),FIND(" ",MID(TRIM(B108),SEARCH(" o ",TRIM(B108))+3,99)&amp;" ")-1)))/2,IFERROR(VALUE(LEFT(TRIM(B108),FIND(" ",TRIM(B108)&amp;" ")-1)),""))))</f>
        <v/>
      </c>
      <c r="H108" s="8">
        <f>IF(TRIM(C108)="","",IFERROR(VALUE(C108),IFERROR((VALUE(LEFT(TRIM(C108),SEARCH(" o ",TRIM(C108))-1))+VALUE(LEFT(MID(TRIM(C108),SEARCH(" o ",TRIM(C108))+3,99),FIND(" ",MID(TRIM(C108),SEARCH(" o ",TRIM(C108))+3,99)&amp;" ")-1)))/2,IFERROR(VALUE(LEFT(TRIM(C108),FIND(" ",TRIM(C108)&amp;" ")-1)),""))))</f>
        <v/>
      </c>
      <c r="I108" s="8">
        <f>IF(TRIM(D108)="","",IFERROR(VALUE(D108),IFERROR((VALUE(LEFT(TRIM(D108),SEARCH(" o ",TRIM(D108))-1))+VALUE(LEFT(MID(TRIM(D108),SEARCH(" o ",TRIM(D108))+3,99),FIND(" ",MID(TRIM(D108),SEARCH(" o ",TRIM(D108))+3,99)&amp;" ")-1)))/2,IFERROR(VALUE(LEFT(TRIM(D108),FIND(" ",TRIM(D108)&amp;" ")-1)),""))))</f>
        <v/>
      </c>
    </row>
    <row r="109">
      <c r="A109" s="6" t="n"/>
      <c r="B109" s="7" t="n"/>
      <c r="C109" s="7" t="n"/>
      <c r="D109" s="7" t="n"/>
      <c r="E109" s="7" t="n"/>
      <c r="G109" s="8">
        <f>IF(TRIM(B109)="","",IFERROR(VALUE(B109),IFERROR((VALUE(LEFT(TRIM(B109),SEARCH(" o ",TRIM(B109))-1))+VALUE(LEFT(MID(TRIM(B109),SEARCH(" o ",TRIM(B109))+3,99),FIND(" ",MID(TRIM(B109),SEARCH(" o ",TRIM(B109))+3,99)&amp;" ")-1)))/2,IFERROR(VALUE(LEFT(TRIM(B109),FIND(" ",TRIM(B109)&amp;" ")-1)),""))))</f>
        <v/>
      </c>
      <c r="H109" s="8">
        <f>IF(TRIM(C109)="","",IFERROR(VALUE(C109),IFERROR((VALUE(LEFT(TRIM(C109),SEARCH(" o ",TRIM(C109))-1))+VALUE(LEFT(MID(TRIM(C109),SEARCH(" o ",TRIM(C109))+3,99),FIND(" ",MID(TRIM(C109),SEARCH(" o ",TRIM(C109))+3,99)&amp;" ")-1)))/2,IFERROR(VALUE(LEFT(TRIM(C109),FIND(" ",TRIM(C109)&amp;" ")-1)),""))))</f>
        <v/>
      </c>
      <c r="I109" s="8">
        <f>IF(TRIM(D109)="","",IFERROR(VALUE(D109),IFERROR((VALUE(LEFT(TRIM(D109),SEARCH(" o ",TRIM(D109))-1))+VALUE(LEFT(MID(TRIM(D109),SEARCH(" o ",TRIM(D109))+3,99),FIND(" ",MID(TRIM(D109),SEARCH(" o ",TRIM(D109))+3,99)&amp;" ")-1)))/2,IFERROR(VALUE(LEFT(TRIM(D109),FIND(" ",TRIM(D109)&amp;" ")-1)),""))))</f>
        <v/>
      </c>
    </row>
    <row r="110">
      <c r="A110" s="6" t="n"/>
      <c r="B110" s="7" t="n"/>
      <c r="C110" s="7" t="n"/>
      <c r="D110" s="7" t="n"/>
      <c r="E110" s="7" t="n"/>
      <c r="G110" s="8">
        <f>IF(TRIM(B110)="","",IFERROR(VALUE(B110),IFERROR((VALUE(LEFT(TRIM(B110),SEARCH(" o ",TRIM(B110))-1))+VALUE(LEFT(MID(TRIM(B110),SEARCH(" o ",TRIM(B110))+3,99),FIND(" ",MID(TRIM(B110),SEARCH(" o ",TRIM(B110))+3,99)&amp;" ")-1)))/2,IFERROR(VALUE(LEFT(TRIM(B110),FIND(" ",TRIM(B110)&amp;" ")-1)),""))))</f>
        <v/>
      </c>
      <c r="H110" s="8">
        <f>IF(TRIM(C110)="","",IFERROR(VALUE(C110),IFERROR((VALUE(LEFT(TRIM(C110),SEARCH(" o ",TRIM(C110))-1))+VALUE(LEFT(MID(TRIM(C110),SEARCH(" o ",TRIM(C110))+3,99),FIND(" ",MID(TRIM(C110),SEARCH(" o ",TRIM(C110))+3,99)&amp;" ")-1)))/2,IFERROR(VALUE(LEFT(TRIM(C110),FIND(" ",TRIM(C110)&amp;" ")-1)),""))))</f>
        <v/>
      </c>
      <c r="I110" s="8">
        <f>IF(TRIM(D110)="","",IFERROR(VALUE(D110),IFERROR((VALUE(LEFT(TRIM(D110),SEARCH(" o ",TRIM(D110))-1))+VALUE(LEFT(MID(TRIM(D110),SEARCH(" o ",TRIM(D110))+3,99),FIND(" ",MID(TRIM(D110),SEARCH(" o ",TRIM(D110))+3,99)&amp;" ")-1)))/2,IFERROR(VALUE(LEFT(TRIM(D110),FIND(" ",TRIM(D110)&amp;" ")-1)),""))))</f>
        <v/>
      </c>
    </row>
    <row r="111">
      <c r="A111" s="6" t="n"/>
      <c r="B111" s="7" t="n"/>
      <c r="C111" s="7" t="n"/>
      <c r="D111" s="7" t="n"/>
      <c r="E111" s="7" t="n"/>
      <c r="G111" s="8">
        <f>IF(TRIM(B111)="","",IFERROR(VALUE(B111),IFERROR((VALUE(LEFT(TRIM(B111),SEARCH(" o ",TRIM(B111))-1))+VALUE(LEFT(MID(TRIM(B111),SEARCH(" o ",TRIM(B111))+3,99),FIND(" ",MID(TRIM(B111),SEARCH(" o ",TRIM(B111))+3,99)&amp;" ")-1)))/2,IFERROR(VALUE(LEFT(TRIM(B111),FIND(" ",TRIM(B111)&amp;" ")-1)),""))))</f>
        <v/>
      </c>
      <c r="H111" s="8">
        <f>IF(TRIM(C111)="","",IFERROR(VALUE(C111),IFERROR((VALUE(LEFT(TRIM(C111),SEARCH(" o ",TRIM(C111))-1))+VALUE(LEFT(MID(TRIM(C111),SEARCH(" o ",TRIM(C111))+3,99),FIND(" ",MID(TRIM(C111),SEARCH(" o ",TRIM(C111))+3,99)&amp;" ")-1)))/2,IFERROR(VALUE(LEFT(TRIM(C111),FIND(" ",TRIM(C111)&amp;" ")-1)),""))))</f>
        <v/>
      </c>
      <c r="I111" s="8">
        <f>IF(TRIM(D111)="","",IFERROR(VALUE(D111),IFERROR((VALUE(LEFT(TRIM(D111),SEARCH(" o ",TRIM(D111))-1))+VALUE(LEFT(MID(TRIM(D111),SEARCH(" o ",TRIM(D111))+3,99),FIND(" ",MID(TRIM(D111),SEARCH(" o ",TRIM(D111))+3,99)&amp;" ")-1)))/2,IFERROR(VALUE(LEFT(TRIM(D111),FIND(" ",TRIM(D111)&amp;" ")-1)),""))))</f>
        <v/>
      </c>
    </row>
    <row r="112">
      <c r="A112" s="6" t="n"/>
      <c r="B112" s="7" t="n"/>
      <c r="C112" s="7" t="n"/>
      <c r="D112" s="7" t="n"/>
      <c r="E112" s="7" t="n"/>
      <c r="G112" s="8">
        <f>IF(TRIM(B112)="","",IFERROR(VALUE(B112),IFERROR((VALUE(LEFT(TRIM(B112),SEARCH(" o ",TRIM(B112))-1))+VALUE(LEFT(MID(TRIM(B112),SEARCH(" o ",TRIM(B112))+3,99),FIND(" ",MID(TRIM(B112),SEARCH(" o ",TRIM(B112))+3,99)&amp;" ")-1)))/2,IFERROR(VALUE(LEFT(TRIM(B112),FIND(" ",TRIM(B112)&amp;" ")-1)),""))))</f>
        <v/>
      </c>
      <c r="H112" s="8">
        <f>IF(TRIM(C112)="","",IFERROR(VALUE(C112),IFERROR((VALUE(LEFT(TRIM(C112),SEARCH(" o ",TRIM(C112))-1))+VALUE(LEFT(MID(TRIM(C112),SEARCH(" o ",TRIM(C112))+3,99),FIND(" ",MID(TRIM(C112),SEARCH(" o ",TRIM(C112))+3,99)&amp;" ")-1)))/2,IFERROR(VALUE(LEFT(TRIM(C112),FIND(" ",TRIM(C112)&amp;" ")-1)),""))))</f>
        <v/>
      </c>
      <c r="I112" s="8">
        <f>IF(TRIM(D112)="","",IFERROR(VALUE(D112),IFERROR((VALUE(LEFT(TRIM(D112),SEARCH(" o ",TRIM(D112))-1))+VALUE(LEFT(MID(TRIM(D112),SEARCH(" o ",TRIM(D112))+3,99),FIND(" ",MID(TRIM(D112),SEARCH(" o ",TRIM(D112))+3,99)&amp;" ")-1)))/2,IFERROR(VALUE(LEFT(TRIM(D112),FIND(" ",TRIM(D112)&amp;" ")-1)),""))))</f>
        <v/>
      </c>
    </row>
    <row r="113">
      <c r="A113" s="6" t="n"/>
      <c r="B113" s="7" t="n"/>
      <c r="C113" s="7" t="n"/>
      <c r="D113" s="7" t="n"/>
      <c r="E113" s="7" t="n"/>
      <c r="G113" s="8">
        <f>IF(TRIM(B113)="","",IFERROR(VALUE(B113),IFERROR((VALUE(LEFT(TRIM(B113),SEARCH(" o ",TRIM(B113))-1))+VALUE(LEFT(MID(TRIM(B113),SEARCH(" o ",TRIM(B113))+3,99),FIND(" ",MID(TRIM(B113),SEARCH(" o ",TRIM(B113))+3,99)&amp;" ")-1)))/2,IFERROR(VALUE(LEFT(TRIM(B113),FIND(" ",TRIM(B113)&amp;" ")-1)),""))))</f>
        <v/>
      </c>
      <c r="H113" s="8">
        <f>IF(TRIM(C113)="","",IFERROR(VALUE(C113),IFERROR((VALUE(LEFT(TRIM(C113),SEARCH(" o ",TRIM(C113))-1))+VALUE(LEFT(MID(TRIM(C113),SEARCH(" o ",TRIM(C113))+3,99),FIND(" ",MID(TRIM(C113),SEARCH(" o ",TRIM(C113))+3,99)&amp;" ")-1)))/2,IFERROR(VALUE(LEFT(TRIM(C113),FIND(" ",TRIM(C113)&amp;" ")-1)),""))))</f>
        <v/>
      </c>
      <c r="I113" s="8">
        <f>IF(TRIM(D113)="","",IFERROR(VALUE(D113),IFERROR((VALUE(LEFT(TRIM(D113),SEARCH(" o ",TRIM(D113))-1))+VALUE(LEFT(MID(TRIM(D113),SEARCH(" o ",TRIM(D113))+3,99),FIND(" ",MID(TRIM(D113),SEARCH(" o ",TRIM(D113))+3,99)&amp;" ")-1)))/2,IFERROR(VALUE(LEFT(TRIM(D113),FIND(" ",TRIM(D113)&amp;" ")-1)),""))))</f>
        <v/>
      </c>
    </row>
    <row r="114">
      <c r="A114" s="6" t="n"/>
      <c r="B114" s="7" t="n"/>
      <c r="C114" s="7" t="n"/>
      <c r="D114" s="7" t="n"/>
      <c r="E114" s="7" t="n"/>
      <c r="G114" s="8">
        <f>IF(TRIM(B114)="","",IFERROR(VALUE(B114),IFERROR((VALUE(LEFT(TRIM(B114),SEARCH(" o ",TRIM(B114))-1))+VALUE(LEFT(MID(TRIM(B114),SEARCH(" o ",TRIM(B114))+3,99),FIND(" ",MID(TRIM(B114),SEARCH(" o ",TRIM(B114))+3,99)&amp;" ")-1)))/2,IFERROR(VALUE(LEFT(TRIM(B114),FIND(" ",TRIM(B114)&amp;" ")-1)),""))))</f>
        <v/>
      </c>
      <c r="H114" s="8">
        <f>IF(TRIM(C114)="","",IFERROR(VALUE(C114),IFERROR((VALUE(LEFT(TRIM(C114),SEARCH(" o ",TRIM(C114))-1))+VALUE(LEFT(MID(TRIM(C114),SEARCH(" o ",TRIM(C114))+3,99),FIND(" ",MID(TRIM(C114),SEARCH(" o ",TRIM(C114))+3,99)&amp;" ")-1)))/2,IFERROR(VALUE(LEFT(TRIM(C114),FIND(" ",TRIM(C114)&amp;" ")-1)),""))))</f>
        <v/>
      </c>
      <c r="I114" s="8">
        <f>IF(TRIM(D114)="","",IFERROR(VALUE(D114),IFERROR((VALUE(LEFT(TRIM(D114),SEARCH(" o ",TRIM(D114))-1))+VALUE(LEFT(MID(TRIM(D114),SEARCH(" o ",TRIM(D114))+3,99),FIND(" ",MID(TRIM(D114),SEARCH(" o ",TRIM(D114))+3,99)&amp;" ")-1)))/2,IFERROR(VALUE(LEFT(TRIM(D114),FIND(" ",TRIM(D114)&amp;" ")-1)),""))))</f>
        <v/>
      </c>
    </row>
    <row r="115">
      <c r="A115" s="6" t="n"/>
      <c r="B115" s="7" t="n"/>
      <c r="C115" s="7" t="n"/>
      <c r="D115" s="7" t="n"/>
      <c r="E115" s="7" t="n"/>
      <c r="G115" s="8">
        <f>IF(TRIM(B115)="","",IFERROR(VALUE(B115),IFERROR((VALUE(LEFT(TRIM(B115),SEARCH(" o ",TRIM(B115))-1))+VALUE(LEFT(MID(TRIM(B115),SEARCH(" o ",TRIM(B115))+3,99),FIND(" ",MID(TRIM(B115),SEARCH(" o ",TRIM(B115))+3,99)&amp;" ")-1)))/2,IFERROR(VALUE(LEFT(TRIM(B115),FIND(" ",TRIM(B115)&amp;" ")-1)),""))))</f>
        <v/>
      </c>
      <c r="H115" s="8">
        <f>IF(TRIM(C115)="","",IFERROR(VALUE(C115),IFERROR((VALUE(LEFT(TRIM(C115),SEARCH(" o ",TRIM(C115))-1))+VALUE(LEFT(MID(TRIM(C115),SEARCH(" o ",TRIM(C115))+3,99),FIND(" ",MID(TRIM(C115),SEARCH(" o ",TRIM(C115))+3,99)&amp;" ")-1)))/2,IFERROR(VALUE(LEFT(TRIM(C115),FIND(" ",TRIM(C115)&amp;" ")-1)),""))))</f>
        <v/>
      </c>
      <c r="I115" s="8">
        <f>IF(TRIM(D115)="","",IFERROR(VALUE(D115),IFERROR((VALUE(LEFT(TRIM(D115),SEARCH(" o ",TRIM(D115))-1))+VALUE(LEFT(MID(TRIM(D115),SEARCH(" o ",TRIM(D115))+3,99),FIND(" ",MID(TRIM(D115),SEARCH(" o ",TRIM(D115))+3,99)&amp;" ")-1)))/2,IFERROR(VALUE(LEFT(TRIM(D115),FIND(" ",TRIM(D115)&amp;" ")-1)),""))))</f>
        <v/>
      </c>
    </row>
    <row r="116">
      <c r="A116" s="6" t="n"/>
      <c r="B116" s="7" t="n"/>
      <c r="C116" s="7" t="n"/>
      <c r="D116" s="7" t="n"/>
      <c r="E116" s="7" t="n"/>
      <c r="G116" s="8">
        <f>IF(TRIM(B116)="","",IFERROR(VALUE(B116),IFERROR((VALUE(LEFT(TRIM(B116),SEARCH(" o ",TRIM(B116))-1))+VALUE(LEFT(MID(TRIM(B116),SEARCH(" o ",TRIM(B116))+3,99),FIND(" ",MID(TRIM(B116),SEARCH(" o ",TRIM(B116))+3,99)&amp;" ")-1)))/2,IFERROR(VALUE(LEFT(TRIM(B116),FIND(" ",TRIM(B116)&amp;" ")-1)),""))))</f>
        <v/>
      </c>
      <c r="H116" s="8">
        <f>IF(TRIM(C116)="","",IFERROR(VALUE(C116),IFERROR((VALUE(LEFT(TRIM(C116),SEARCH(" o ",TRIM(C116))-1))+VALUE(LEFT(MID(TRIM(C116),SEARCH(" o ",TRIM(C116))+3,99),FIND(" ",MID(TRIM(C116),SEARCH(" o ",TRIM(C116))+3,99)&amp;" ")-1)))/2,IFERROR(VALUE(LEFT(TRIM(C116),FIND(" ",TRIM(C116)&amp;" ")-1)),""))))</f>
        <v/>
      </c>
      <c r="I116" s="8">
        <f>IF(TRIM(D116)="","",IFERROR(VALUE(D116),IFERROR((VALUE(LEFT(TRIM(D116),SEARCH(" o ",TRIM(D116))-1))+VALUE(LEFT(MID(TRIM(D116),SEARCH(" o ",TRIM(D116))+3,99),FIND(" ",MID(TRIM(D116),SEARCH(" o ",TRIM(D116))+3,99)&amp;" ")-1)))/2,IFERROR(VALUE(LEFT(TRIM(D116),FIND(" ",TRIM(D116)&amp;" ")-1)),""))))</f>
        <v/>
      </c>
    </row>
    <row r="117">
      <c r="A117" s="6" t="n"/>
      <c r="B117" s="7" t="n"/>
      <c r="C117" s="7" t="n"/>
      <c r="D117" s="7" t="n"/>
      <c r="E117" s="7" t="n"/>
      <c r="G117" s="8">
        <f>IF(TRIM(B117)="","",IFERROR(VALUE(B117),IFERROR((VALUE(LEFT(TRIM(B117),SEARCH(" o ",TRIM(B117))-1))+VALUE(LEFT(MID(TRIM(B117),SEARCH(" o ",TRIM(B117))+3,99),FIND(" ",MID(TRIM(B117),SEARCH(" o ",TRIM(B117))+3,99)&amp;" ")-1)))/2,IFERROR(VALUE(LEFT(TRIM(B117),FIND(" ",TRIM(B117)&amp;" ")-1)),""))))</f>
        <v/>
      </c>
      <c r="H117" s="8">
        <f>IF(TRIM(C117)="","",IFERROR(VALUE(C117),IFERROR((VALUE(LEFT(TRIM(C117),SEARCH(" o ",TRIM(C117))-1))+VALUE(LEFT(MID(TRIM(C117),SEARCH(" o ",TRIM(C117))+3,99),FIND(" ",MID(TRIM(C117),SEARCH(" o ",TRIM(C117))+3,99)&amp;" ")-1)))/2,IFERROR(VALUE(LEFT(TRIM(C117),FIND(" ",TRIM(C117)&amp;" ")-1)),""))))</f>
        <v/>
      </c>
      <c r="I117" s="8">
        <f>IF(TRIM(D117)="","",IFERROR(VALUE(D117),IFERROR((VALUE(LEFT(TRIM(D117),SEARCH(" o ",TRIM(D117))-1))+VALUE(LEFT(MID(TRIM(D117),SEARCH(" o ",TRIM(D117))+3,99),FIND(" ",MID(TRIM(D117),SEARCH(" o ",TRIM(D117))+3,99)&amp;" ")-1)))/2,IFERROR(VALUE(LEFT(TRIM(D117),FIND(" ",TRIM(D117)&amp;" ")-1)),""))))</f>
        <v/>
      </c>
    </row>
    <row r="118">
      <c r="A118" s="6" t="n"/>
      <c r="B118" s="7" t="n"/>
      <c r="C118" s="7" t="n"/>
      <c r="D118" s="7" t="n"/>
      <c r="E118" s="7" t="n"/>
      <c r="G118" s="8">
        <f>IF(TRIM(B118)="","",IFERROR(VALUE(B118),IFERROR((VALUE(LEFT(TRIM(B118),SEARCH(" o ",TRIM(B118))-1))+VALUE(LEFT(MID(TRIM(B118),SEARCH(" o ",TRIM(B118))+3,99),FIND(" ",MID(TRIM(B118),SEARCH(" o ",TRIM(B118))+3,99)&amp;" ")-1)))/2,IFERROR(VALUE(LEFT(TRIM(B118),FIND(" ",TRIM(B118)&amp;" ")-1)),""))))</f>
        <v/>
      </c>
      <c r="H118" s="8">
        <f>IF(TRIM(C118)="","",IFERROR(VALUE(C118),IFERROR((VALUE(LEFT(TRIM(C118),SEARCH(" o ",TRIM(C118))-1))+VALUE(LEFT(MID(TRIM(C118),SEARCH(" o ",TRIM(C118))+3,99),FIND(" ",MID(TRIM(C118),SEARCH(" o ",TRIM(C118))+3,99)&amp;" ")-1)))/2,IFERROR(VALUE(LEFT(TRIM(C118),FIND(" ",TRIM(C118)&amp;" ")-1)),""))))</f>
        <v/>
      </c>
      <c r="I118" s="8">
        <f>IF(TRIM(D118)="","",IFERROR(VALUE(D118),IFERROR((VALUE(LEFT(TRIM(D118),SEARCH(" o ",TRIM(D118))-1))+VALUE(LEFT(MID(TRIM(D118),SEARCH(" o ",TRIM(D118))+3,99),FIND(" ",MID(TRIM(D118),SEARCH(" o ",TRIM(D118))+3,99)&amp;" ")-1)))/2,IFERROR(VALUE(LEFT(TRIM(D118),FIND(" ",TRIM(D118)&amp;" ")-1)),""))))</f>
        <v/>
      </c>
    </row>
    <row r="119">
      <c r="A119" s="6" t="n"/>
      <c r="B119" s="7" t="n"/>
      <c r="C119" s="7" t="n"/>
      <c r="D119" s="7" t="n"/>
      <c r="E119" s="7" t="n"/>
      <c r="G119" s="8">
        <f>IF(TRIM(B119)="","",IFERROR(VALUE(B119),IFERROR((VALUE(LEFT(TRIM(B119),SEARCH(" o ",TRIM(B119))-1))+VALUE(LEFT(MID(TRIM(B119),SEARCH(" o ",TRIM(B119))+3,99),FIND(" ",MID(TRIM(B119),SEARCH(" o ",TRIM(B119))+3,99)&amp;" ")-1)))/2,IFERROR(VALUE(LEFT(TRIM(B119),FIND(" ",TRIM(B119)&amp;" ")-1)),""))))</f>
        <v/>
      </c>
      <c r="H119" s="8">
        <f>IF(TRIM(C119)="","",IFERROR(VALUE(C119),IFERROR((VALUE(LEFT(TRIM(C119),SEARCH(" o ",TRIM(C119))-1))+VALUE(LEFT(MID(TRIM(C119),SEARCH(" o ",TRIM(C119))+3,99),FIND(" ",MID(TRIM(C119),SEARCH(" o ",TRIM(C119))+3,99)&amp;" ")-1)))/2,IFERROR(VALUE(LEFT(TRIM(C119),FIND(" ",TRIM(C119)&amp;" ")-1)),""))))</f>
        <v/>
      </c>
      <c r="I119" s="8">
        <f>IF(TRIM(D119)="","",IFERROR(VALUE(D119),IFERROR((VALUE(LEFT(TRIM(D119),SEARCH(" o ",TRIM(D119))-1))+VALUE(LEFT(MID(TRIM(D119),SEARCH(" o ",TRIM(D119))+3,99),FIND(" ",MID(TRIM(D119),SEARCH(" o ",TRIM(D119))+3,99)&amp;" ")-1)))/2,IFERROR(VALUE(LEFT(TRIM(D119),FIND(" ",TRIM(D119)&amp;" ")-1)),""))))</f>
        <v/>
      </c>
    </row>
    <row r="120">
      <c r="A120" s="6" t="n"/>
      <c r="B120" s="7" t="n"/>
      <c r="C120" s="7" t="n"/>
      <c r="D120" s="7" t="n"/>
      <c r="E120" s="7" t="n"/>
      <c r="G120" s="8">
        <f>IF(TRIM(B120)="","",IFERROR(VALUE(B120),IFERROR((VALUE(LEFT(TRIM(B120),SEARCH(" o ",TRIM(B120))-1))+VALUE(LEFT(MID(TRIM(B120),SEARCH(" o ",TRIM(B120))+3,99),FIND(" ",MID(TRIM(B120),SEARCH(" o ",TRIM(B120))+3,99)&amp;" ")-1)))/2,IFERROR(VALUE(LEFT(TRIM(B120),FIND(" ",TRIM(B120)&amp;" ")-1)),""))))</f>
        <v/>
      </c>
      <c r="H120" s="8">
        <f>IF(TRIM(C120)="","",IFERROR(VALUE(C120),IFERROR((VALUE(LEFT(TRIM(C120),SEARCH(" o ",TRIM(C120))-1))+VALUE(LEFT(MID(TRIM(C120),SEARCH(" o ",TRIM(C120))+3,99),FIND(" ",MID(TRIM(C120),SEARCH(" o ",TRIM(C120))+3,99)&amp;" ")-1)))/2,IFERROR(VALUE(LEFT(TRIM(C120),FIND(" ",TRIM(C120)&amp;" ")-1)),""))))</f>
        <v/>
      </c>
      <c r="I120" s="8">
        <f>IF(TRIM(D120)="","",IFERROR(VALUE(D120),IFERROR((VALUE(LEFT(TRIM(D120),SEARCH(" o ",TRIM(D120))-1))+VALUE(LEFT(MID(TRIM(D120),SEARCH(" o ",TRIM(D120))+3,99),FIND(" ",MID(TRIM(D120),SEARCH(" o ",TRIM(D120))+3,99)&amp;" ")-1)))/2,IFERROR(VALUE(LEFT(TRIM(D120),FIND(" ",TRIM(D120)&amp;" ")-1)),""))))</f>
        <v/>
      </c>
    </row>
    <row r="121">
      <c r="A121" s="6" t="n"/>
      <c r="B121" s="7" t="n"/>
      <c r="C121" s="7" t="n"/>
      <c r="D121" s="7" t="n"/>
      <c r="E121" s="7" t="n"/>
      <c r="G121" s="8">
        <f>IF(TRIM(B121)="","",IFERROR(VALUE(B121),IFERROR((VALUE(LEFT(TRIM(B121),SEARCH(" o ",TRIM(B121))-1))+VALUE(LEFT(MID(TRIM(B121),SEARCH(" o ",TRIM(B121))+3,99),FIND(" ",MID(TRIM(B121),SEARCH(" o ",TRIM(B121))+3,99)&amp;" ")-1)))/2,IFERROR(VALUE(LEFT(TRIM(B121),FIND(" ",TRIM(B121)&amp;" ")-1)),""))))</f>
        <v/>
      </c>
      <c r="H121" s="8">
        <f>IF(TRIM(C121)="","",IFERROR(VALUE(C121),IFERROR((VALUE(LEFT(TRIM(C121),SEARCH(" o ",TRIM(C121))-1))+VALUE(LEFT(MID(TRIM(C121),SEARCH(" o ",TRIM(C121))+3,99),FIND(" ",MID(TRIM(C121),SEARCH(" o ",TRIM(C121))+3,99)&amp;" ")-1)))/2,IFERROR(VALUE(LEFT(TRIM(C121),FIND(" ",TRIM(C121)&amp;" ")-1)),""))))</f>
        <v/>
      </c>
      <c r="I121" s="8">
        <f>IF(TRIM(D121)="","",IFERROR(VALUE(D121),IFERROR((VALUE(LEFT(TRIM(D121),SEARCH(" o ",TRIM(D121))-1))+VALUE(LEFT(MID(TRIM(D121),SEARCH(" o ",TRIM(D121))+3,99),FIND(" ",MID(TRIM(D121),SEARCH(" o ",TRIM(D121))+3,99)&amp;" ")-1)))/2,IFERROR(VALUE(LEFT(TRIM(D121),FIND(" ",TRIM(D121)&amp;" ")-1)),""))))</f>
        <v/>
      </c>
    </row>
    <row r="122">
      <c r="A122" s="6" t="n"/>
      <c r="B122" s="7" t="n"/>
      <c r="C122" s="7" t="n"/>
      <c r="D122" s="7" t="n"/>
      <c r="E122" s="7" t="n"/>
      <c r="G122" s="8">
        <f>IF(TRIM(B122)="","",IFERROR(VALUE(B122),IFERROR((VALUE(LEFT(TRIM(B122),SEARCH(" o ",TRIM(B122))-1))+VALUE(LEFT(MID(TRIM(B122),SEARCH(" o ",TRIM(B122))+3,99),FIND(" ",MID(TRIM(B122),SEARCH(" o ",TRIM(B122))+3,99)&amp;" ")-1)))/2,IFERROR(VALUE(LEFT(TRIM(B122),FIND(" ",TRIM(B122)&amp;" ")-1)),""))))</f>
        <v/>
      </c>
      <c r="H122" s="8">
        <f>IF(TRIM(C122)="","",IFERROR(VALUE(C122),IFERROR((VALUE(LEFT(TRIM(C122),SEARCH(" o ",TRIM(C122))-1))+VALUE(LEFT(MID(TRIM(C122),SEARCH(" o ",TRIM(C122))+3,99),FIND(" ",MID(TRIM(C122),SEARCH(" o ",TRIM(C122))+3,99)&amp;" ")-1)))/2,IFERROR(VALUE(LEFT(TRIM(C122),FIND(" ",TRIM(C122)&amp;" ")-1)),""))))</f>
        <v/>
      </c>
      <c r="I122" s="8">
        <f>IF(TRIM(D122)="","",IFERROR(VALUE(D122),IFERROR((VALUE(LEFT(TRIM(D122),SEARCH(" o ",TRIM(D122))-1))+VALUE(LEFT(MID(TRIM(D122),SEARCH(" o ",TRIM(D122))+3,99),FIND(" ",MID(TRIM(D122),SEARCH(" o ",TRIM(D122))+3,99)&amp;" ")-1)))/2,IFERROR(VALUE(LEFT(TRIM(D122),FIND(" ",TRIM(D122)&amp;" ")-1)),""))))</f>
        <v/>
      </c>
    </row>
    <row r="123">
      <c r="A123" s="6" t="n"/>
      <c r="B123" s="7" t="n"/>
      <c r="C123" s="7" t="n"/>
      <c r="D123" s="7" t="n"/>
      <c r="E123" s="7" t="n"/>
      <c r="G123" s="8">
        <f>IF(TRIM(B123)="","",IFERROR(VALUE(B123),IFERROR((VALUE(LEFT(TRIM(B123),SEARCH(" o ",TRIM(B123))-1))+VALUE(LEFT(MID(TRIM(B123),SEARCH(" o ",TRIM(B123))+3,99),FIND(" ",MID(TRIM(B123),SEARCH(" o ",TRIM(B123))+3,99)&amp;" ")-1)))/2,IFERROR(VALUE(LEFT(TRIM(B123),FIND(" ",TRIM(B123)&amp;" ")-1)),""))))</f>
        <v/>
      </c>
      <c r="H123" s="8">
        <f>IF(TRIM(C123)="","",IFERROR(VALUE(C123),IFERROR((VALUE(LEFT(TRIM(C123),SEARCH(" o ",TRIM(C123))-1))+VALUE(LEFT(MID(TRIM(C123),SEARCH(" o ",TRIM(C123))+3,99),FIND(" ",MID(TRIM(C123),SEARCH(" o ",TRIM(C123))+3,99)&amp;" ")-1)))/2,IFERROR(VALUE(LEFT(TRIM(C123),FIND(" ",TRIM(C123)&amp;" ")-1)),""))))</f>
        <v/>
      </c>
      <c r="I123" s="8">
        <f>IF(TRIM(D123)="","",IFERROR(VALUE(D123),IFERROR((VALUE(LEFT(TRIM(D123),SEARCH(" o ",TRIM(D123))-1))+VALUE(LEFT(MID(TRIM(D123),SEARCH(" o ",TRIM(D123))+3,99),FIND(" ",MID(TRIM(D123),SEARCH(" o ",TRIM(D123))+3,99)&amp;" ")-1)))/2,IFERROR(VALUE(LEFT(TRIM(D123),FIND(" ",TRIM(D123)&amp;" ")-1)),""))))</f>
        <v/>
      </c>
    </row>
    <row r="124">
      <c r="A124" s="6" t="n"/>
      <c r="B124" s="7" t="n"/>
      <c r="C124" s="7" t="n"/>
      <c r="D124" s="7" t="n"/>
      <c r="E124" s="7" t="n"/>
      <c r="G124" s="8">
        <f>IF(TRIM(B124)="","",IFERROR(VALUE(B124),IFERROR((VALUE(LEFT(TRIM(B124),SEARCH(" o ",TRIM(B124))-1))+VALUE(LEFT(MID(TRIM(B124),SEARCH(" o ",TRIM(B124))+3,99),FIND(" ",MID(TRIM(B124),SEARCH(" o ",TRIM(B124))+3,99)&amp;" ")-1)))/2,IFERROR(VALUE(LEFT(TRIM(B124),FIND(" ",TRIM(B124)&amp;" ")-1)),""))))</f>
        <v/>
      </c>
      <c r="H124" s="8">
        <f>IF(TRIM(C124)="","",IFERROR(VALUE(C124),IFERROR((VALUE(LEFT(TRIM(C124),SEARCH(" o ",TRIM(C124))-1))+VALUE(LEFT(MID(TRIM(C124),SEARCH(" o ",TRIM(C124))+3,99),FIND(" ",MID(TRIM(C124),SEARCH(" o ",TRIM(C124))+3,99)&amp;" ")-1)))/2,IFERROR(VALUE(LEFT(TRIM(C124),FIND(" ",TRIM(C124)&amp;" ")-1)),""))))</f>
        <v/>
      </c>
      <c r="I124" s="8">
        <f>IF(TRIM(D124)="","",IFERROR(VALUE(D124),IFERROR((VALUE(LEFT(TRIM(D124),SEARCH(" o ",TRIM(D124))-1))+VALUE(LEFT(MID(TRIM(D124),SEARCH(" o ",TRIM(D124))+3,99),FIND(" ",MID(TRIM(D124),SEARCH(" o ",TRIM(D124))+3,99)&amp;" ")-1)))/2,IFERROR(VALUE(LEFT(TRIM(D124),FIND(" ",TRIM(D124)&amp;" ")-1)),""))))</f>
        <v/>
      </c>
    </row>
    <row r="125">
      <c r="A125" s="6" t="n"/>
      <c r="B125" s="7" t="n"/>
      <c r="C125" s="7" t="n"/>
      <c r="D125" s="7" t="n"/>
      <c r="E125" s="7" t="n"/>
      <c r="G125" s="8">
        <f>IF(TRIM(B125)="","",IFERROR(VALUE(B125),IFERROR((VALUE(LEFT(TRIM(B125),SEARCH(" o ",TRIM(B125))-1))+VALUE(LEFT(MID(TRIM(B125),SEARCH(" o ",TRIM(B125))+3,99),FIND(" ",MID(TRIM(B125),SEARCH(" o ",TRIM(B125))+3,99)&amp;" ")-1)))/2,IFERROR(VALUE(LEFT(TRIM(B125),FIND(" ",TRIM(B125)&amp;" ")-1)),""))))</f>
        <v/>
      </c>
      <c r="H125" s="8">
        <f>IF(TRIM(C125)="","",IFERROR(VALUE(C125),IFERROR((VALUE(LEFT(TRIM(C125),SEARCH(" o ",TRIM(C125))-1))+VALUE(LEFT(MID(TRIM(C125),SEARCH(" o ",TRIM(C125))+3,99),FIND(" ",MID(TRIM(C125),SEARCH(" o ",TRIM(C125))+3,99)&amp;" ")-1)))/2,IFERROR(VALUE(LEFT(TRIM(C125),FIND(" ",TRIM(C125)&amp;" ")-1)),""))))</f>
        <v/>
      </c>
      <c r="I125" s="8">
        <f>IF(TRIM(D125)="","",IFERROR(VALUE(D125),IFERROR((VALUE(LEFT(TRIM(D125),SEARCH(" o ",TRIM(D125))-1))+VALUE(LEFT(MID(TRIM(D125),SEARCH(" o ",TRIM(D125))+3,99),FIND(" ",MID(TRIM(D125),SEARCH(" o ",TRIM(D125))+3,99)&amp;" ")-1)))/2,IFERROR(VALUE(LEFT(TRIM(D125),FIND(" ",TRIM(D125)&amp;" ")-1)),""))))</f>
        <v/>
      </c>
    </row>
    <row r="126">
      <c r="A126" s="6" t="n"/>
      <c r="B126" s="7" t="n"/>
      <c r="C126" s="7" t="n"/>
      <c r="D126" s="7" t="n"/>
      <c r="E126" s="7" t="n"/>
      <c r="G126" s="8">
        <f>IF(TRIM(B126)="","",IFERROR(VALUE(B126),IFERROR((VALUE(LEFT(TRIM(B126),SEARCH(" o ",TRIM(B126))-1))+VALUE(LEFT(MID(TRIM(B126),SEARCH(" o ",TRIM(B126))+3,99),FIND(" ",MID(TRIM(B126),SEARCH(" o ",TRIM(B126))+3,99)&amp;" ")-1)))/2,IFERROR(VALUE(LEFT(TRIM(B126),FIND(" ",TRIM(B126)&amp;" ")-1)),""))))</f>
        <v/>
      </c>
      <c r="H126" s="8">
        <f>IF(TRIM(C126)="","",IFERROR(VALUE(C126),IFERROR((VALUE(LEFT(TRIM(C126),SEARCH(" o ",TRIM(C126))-1))+VALUE(LEFT(MID(TRIM(C126),SEARCH(" o ",TRIM(C126))+3,99),FIND(" ",MID(TRIM(C126),SEARCH(" o ",TRIM(C126))+3,99)&amp;" ")-1)))/2,IFERROR(VALUE(LEFT(TRIM(C126),FIND(" ",TRIM(C126)&amp;" ")-1)),""))))</f>
        <v/>
      </c>
      <c r="I126" s="8">
        <f>IF(TRIM(D126)="","",IFERROR(VALUE(D126),IFERROR((VALUE(LEFT(TRIM(D126),SEARCH(" o ",TRIM(D126))-1))+VALUE(LEFT(MID(TRIM(D126),SEARCH(" o ",TRIM(D126))+3,99),FIND(" ",MID(TRIM(D126),SEARCH(" o ",TRIM(D126))+3,99)&amp;" ")-1)))/2,IFERROR(VALUE(LEFT(TRIM(D126),FIND(" ",TRIM(D126)&amp;" ")-1)),""))))</f>
        <v/>
      </c>
    </row>
    <row r="127">
      <c r="A127" s="6" t="n"/>
      <c r="B127" s="7" t="n"/>
      <c r="C127" s="7" t="n"/>
      <c r="D127" s="7" t="n"/>
      <c r="E127" s="7" t="n"/>
      <c r="G127" s="8">
        <f>IF(TRIM(B127)="","",IFERROR(VALUE(B127),IFERROR((VALUE(LEFT(TRIM(B127),SEARCH(" o ",TRIM(B127))-1))+VALUE(LEFT(MID(TRIM(B127),SEARCH(" o ",TRIM(B127))+3,99),FIND(" ",MID(TRIM(B127),SEARCH(" o ",TRIM(B127))+3,99)&amp;" ")-1)))/2,IFERROR(VALUE(LEFT(TRIM(B127),FIND(" ",TRIM(B127)&amp;" ")-1)),""))))</f>
        <v/>
      </c>
      <c r="H127" s="8">
        <f>IF(TRIM(C127)="","",IFERROR(VALUE(C127),IFERROR((VALUE(LEFT(TRIM(C127),SEARCH(" o ",TRIM(C127))-1))+VALUE(LEFT(MID(TRIM(C127),SEARCH(" o ",TRIM(C127))+3,99),FIND(" ",MID(TRIM(C127),SEARCH(" o ",TRIM(C127))+3,99)&amp;" ")-1)))/2,IFERROR(VALUE(LEFT(TRIM(C127),FIND(" ",TRIM(C127)&amp;" ")-1)),""))))</f>
        <v/>
      </c>
      <c r="I127" s="8">
        <f>IF(TRIM(D127)="","",IFERROR(VALUE(D127),IFERROR((VALUE(LEFT(TRIM(D127),SEARCH(" o ",TRIM(D127))-1))+VALUE(LEFT(MID(TRIM(D127),SEARCH(" o ",TRIM(D127))+3,99),FIND(" ",MID(TRIM(D127),SEARCH(" o ",TRIM(D127))+3,99)&amp;" ")-1)))/2,IFERROR(VALUE(LEFT(TRIM(D127),FIND(" ",TRIM(D127)&amp;" ")-1)),""))))</f>
        <v/>
      </c>
    </row>
    <row r="128">
      <c r="A128" s="6" t="n"/>
      <c r="B128" s="7" t="n"/>
      <c r="C128" s="7" t="n"/>
      <c r="D128" s="7" t="n"/>
      <c r="E128" s="7" t="n"/>
      <c r="G128" s="8">
        <f>IF(TRIM(B128)="","",IFERROR(VALUE(B128),IFERROR((VALUE(LEFT(TRIM(B128),SEARCH(" o ",TRIM(B128))-1))+VALUE(LEFT(MID(TRIM(B128),SEARCH(" o ",TRIM(B128))+3,99),FIND(" ",MID(TRIM(B128),SEARCH(" o ",TRIM(B128))+3,99)&amp;" ")-1)))/2,IFERROR(VALUE(LEFT(TRIM(B128),FIND(" ",TRIM(B128)&amp;" ")-1)),""))))</f>
        <v/>
      </c>
      <c r="H128" s="8">
        <f>IF(TRIM(C128)="","",IFERROR(VALUE(C128),IFERROR((VALUE(LEFT(TRIM(C128),SEARCH(" o ",TRIM(C128))-1))+VALUE(LEFT(MID(TRIM(C128),SEARCH(" o ",TRIM(C128))+3,99),FIND(" ",MID(TRIM(C128),SEARCH(" o ",TRIM(C128))+3,99)&amp;" ")-1)))/2,IFERROR(VALUE(LEFT(TRIM(C128),FIND(" ",TRIM(C128)&amp;" ")-1)),""))))</f>
        <v/>
      </c>
      <c r="I128" s="8">
        <f>IF(TRIM(D128)="","",IFERROR(VALUE(D128),IFERROR((VALUE(LEFT(TRIM(D128),SEARCH(" o ",TRIM(D128))-1))+VALUE(LEFT(MID(TRIM(D128),SEARCH(" o ",TRIM(D128))+3,99),FIND(" ",MID(TRIM(D128),SEARCH(" o ",TRIM(D128))+3,99)&amp;" ")-1)))/2,IFERROR(VALUE(LEFT(TRIM(D128),FIND(" ",TRIM(D128)&amp;" ")-1)),""))))</f>
        <v/>
      </c>
    </row>
    <row r="129">
      <c r="A129" s="6" t="n"/>
      <c r="B129" s="7" t="n"/>
      <c r="C129" s="7" t="n"/>
      <c r="D129" s="7" t="n"/>
      <c r="E129" s="7" t="n"/>
      <c r="G129" s="8">
        <f>IF(TRIM(B129)="","",IFERROR(VALUE(B129),IFERROR((VALUE(LEFT(TRIM(B129),SEARCH(" o ",TRIM(B129))-1))+VALUE(LEFT(MID(TRIM(B129),SEARCH(" o ",TRIM(B129))+3,99),FIND(" ",MID(TRIM(B129),SEARCH(" o ",TRIM(B129))+3,99)&amp;" ")-1)))/2,IFERROR(VALUE(LEFT(TRIM(B129),FIND(" ",TRIM(B129)&amp;" ")-1)),""))))</f>
        <v/>
      </c>
      <c r="H129" s="8">
        <f>IF(TRIM(C129)="","",IFERROR(VALUE(C129),IFERROR((VALUE(LEFT(TRIM(C129),SEARCH(" o ",TRIM(C129))-1))+VALUE(LEFT(MID(TRIM(C129),SEARCH(" o ",TRIM(C129))+3,99),FIND(" ",MID(TRIM(C129),SEARCH(" o ",TRIM(C129))+3,99)&amp;" ")-1)))/2,IFERROR(VALUE(LEFT(TRIM(C129),FIND(" ",TRIM(C129)&amp;" ")-1)),""))))</f>
        <v/>
      </c>
      <c r="I129" s="8">
        <f>IF(TRIM(D129)="","",IFERROR(VALUE(D129),IFERROR((VALUE(LEFT(TRIM(D129),SEARCH(" o ",TRIM(D129))-1))+VALUE(LEFT(MID(TRIM(D129),SEARCH(" o ",TRIM(D129))+3,99),FIND(" ",MID(TRIM(D129),SEARCH(" o ",TRIM(D129))+3,99)&amp;" ")-1)))/2,IFERROR(VALUE(LEFT(TRIM(D129),FIND(" ",TRIM(D129)&amp;" ")-1)),""))))</f>
        <v/>
      </c>
    </row>
    <row r="130">
      <c r="A130" s="6" t="n"/>
      <c r="B130" s="7" t="n"/>
      <c r="C130" s="7" t="n"/>
      <c r="D130" s="7" t="n"/>
      <c r="E130" s="7" t="n"/>
      <c r="G130" s="8">
        <f>IF(TRIM(B130)="","",IFERROR(VALUE(B130),IFERROR((VALUE(LEFT(TRIM(B130),SEARCH(" o ",TRIM(B130))-1))+VALUE(LEFT(MID(TRIM(B130),SEARCH(" o ",TRIM(B130))+3,99),FIND(" ",MID(TRIM(B130),SEARCH(" o ",TRIM(B130))+3,99)&amp;" ")-1)))/2,IFERROR(VALUE(LEFT(TRIM(B130),FIND(" ",TRIM(B130)&amp;" ")-1)),""))))</f>
        <v/>
      </c>
      <c r="H130" s="8">
        <f>IF(TRIM(C130)="","",IFERROR(VALUE(C130),IFERROR((VALUE(LEFT(TRIM(C130),SEARCH(" o ",TRIM(C130))-1))+VALUE(LEFT(MID(TRIM(C130),SEARCH(" o ",TRIM(C130))+3,99),FIND(" ",MID(TRIM(C130),SEARCH(" o ",TRIM(C130))+3,99)&amp;" ")-1)))/2,IFERROR(VALUE(LEFT(TRIM(C130),FIND(" ",TRIM(C130)&amp;" ")-1)),""))))</f>
        <v/>
      </c>
      <c r="I130" s="8">
        <f>IF(TRIM(D130)="","",IFERROR(VALUE(D130),IFERROR((VALUE(LEFT(TRIM(D130),SEARCH(" o ",TRIM(D130))-1))+VALUE(LEFT(MID(TRIM(D130),SEARCH(" o ",TRIM(D130))+3,99),FIND(" ",MID(TRIM(D130),SEARCH(" o ",TRIM(D130))+3,99)&amp;" ")-1)))/2,IFERROR(VALUE(LEFT(TRIM(D130),FIND(" ",TRIM(D130)&amp;" ")-1)),""))))</f>
        <v/>
      </c>
    </row>
    <row r="131">
      <c r="A131" s="6" t="n"/>
      <c r="B131" s="7" t="n"/>
      <c r="C131" s="7" t="n"/>
      <c r="D131" s="7" t="n"/>
      <c r="E131" s="7" t="n"/>
      <c r="G131" s="8">
        <f>IF(TRIM(B131)="","",IFERROR(VALUE(B131),IFERROR((VALUE(LEFT(TRIM(B131),SEARCH(" o ",TRIM(B131))-1))+VALUE(LEFT(MID(TRIM(B131),SEARCH(" o ",TRIM(B131))+3,99),FIND(" ",MID(TRIM(B131),SEARCH(" o ",TRIM(B131))+3,99)&amp;" ")-1)))/2,IFERROR(VALUE(LEFT(TRIM(B131),FIND(" ",TRIM(B131)&amp;" ")-1)),""))))</f>
        <v/>
      </c>
      <c r="H131" s="8">
        <f>IF(TRIM(C131)="","",IFERROR(VALUE(C131),IFERROR((VALUE(LEFT(TRIM(C131),SEARCH(" o ",TRIM(C131))-1))+VALUE(LEFT(MID(TRIM(C131),SEARCH(" o ",TRIM(C131))+3,99),FIND(" ",MID(TRIM(C131),SEARCH(" o ",TRIM(C131))+3,99)&amp;" ")-1)))/2,IFERROR(VALUE(LEFT(TRIM(C131),FIND(" ",TRIM(C131)&amp;" ")-1)),""))))</f>
        <v/>
      </c>
      <c r="I131" s="8">
        <f>IF(TRIM(D131)="","",IFERROR(VALUE(D131),IFERROR((VALUE(LEFT(TRIM(D131),SEARCH(" o ",TRIM(D131))-1))+VALUE(LEFT(MID(TRIM(D131),SEARCH(" o ",TRIM(D131))+3,99),FIND(" ",MID(TRIM(D131),SEARCH(" o ",TRIM(D131))+3,99)&amp;" ")-1)))/2,IFERROR(VALUE(LEFT(TRIM(D131),FIND(" ",TRIM(D131)&amp;" ")-1)),""))))</f>
        <v/>
      </c>
    </row>
    <row r="132">
      <c r="A132" s="6" t="n"/>
      <c r="B132" s="7" t="n"/>
      <c r="C132" s="7" t="n"/>
      <c r="D132" s="7" t="n"/>
      <c r="E132" s="7" t="n"/>
      <c r="G132" s="8">
        <f>IF(TRIM(B132)="","",IFERROR(VALUE(B132),IFERROR((VALUE(LEFT(TRIM(B132),SEARCH(" o ",TRIM(B132))-1))+VALUE(LEFT(MID(TRIM(B132),SEARCH(" o ",TRIM(B132))+3,99),FIND(" ",MID(TRIM(B132),SEARCH(" o ",TRIM(B132))+3,99)&amp;" ")-1)))/2,IFERROR(VALUE(LEFT(TRIM(B132),FIND(" ",TRIM(B132)&amp;" ")-1)),""))))</f>
        <v/>
      </c>
      <c r="H132" s="8">
        <f>IF(TRIM(C132)="","",IFERROR(VALUE(C132),IFERROR((VALUE(LEFT(TRIM(C132),SEARCH(" o ",TRIM(C132))-1))+VALUE(LEFT(MID(TRIM(C132),SEARCH(" o ",TRIM(C132))+3,99),FIND(" ",MID(TRIM(C132),SEARCH(" o ",TRIM(C132))+3,99)&amp;" ")-1)))/2,IFERROR(VALUE(LEFT(TRIM(C132),FIND(" ",TRIM(C132)&amp;" ")-1)),""))))</f>
        <v/>
      </c>
      <c r="I132" s="8">
        <f>IF(TRIM(D132)="","",IFERROR(VALUE(D132),IFERROR((VALUE(LEFT(TRIM(D132),SEARCH(" o ",TRIM(D132))-1))+VALUE(LEFT(MID(TRIM(D132),SEARCH(" o ",TRIM(D132))+3,99),FIND(" ",MID(TRIM(D132),SEARCH(" o ",TRIM(D132))+3,99)&amp;" ")-1)))/2,IFERROR(VALUE(LEFT(TRIM(D132),FIND(" ",TRIM(D132)&amp;" ")-1)),""))))</f>
        <v/>
      </c>
    </row>
    <row r="133">
      <c r="A133" s="6" t="n"/>
      <c r="B133" s="7" t="n"/>
      <c r="C133" s="7" t="n"/>
      <c r="D133" s="7" t="n"/>
      <c r="E133" s="7" t="n"/>
      <c r="G133" s="8">
        <f>IF(TRIM(B133)="","",IFERROR(VALUE(B133),IFERROR((VALUE(LEFT(TRIM(B133),SEARCH(" o ",TRIM(B133))-1))+VALUE(LEFT(MID(TRIM(B133),SEARCH(" o ",TRIM(B133))+3,99),FIND(" ",MID(TRIM(B133),SEARCH(" o ",TRIM(B133))+3,99)&amp;" ")-1)))/2,IFERROR(VALUE(LEFT(TRIM(B133),FIND(" ",TRIM(B133)&amp;" ")-1)),""))))</f>
        <v/>
      </c>
      <c r="H133" s="8">
        <f>IF(TRIM(C133)="","",IFERROR(VALUE(C133),IFERROR((VALUE(LEFT(TRIM(C133),SEARCH(" o ",TRIM(C133))-1))+VALUE(LEFT(MID(TRIM(C133),SEARCH(" o ",TRIM(C133))+3,99),FIND(" ",MID(TRIM(C133),SEARCH(" o ",TRIM(C133))+3,99)&amp;" ")-1)))/2,IFERROR(VALUE(LEFT(TRIM(C133),FIND(" ",TRIM(C133)&amp;" ")-1)),""))))</f>
        <v/>
      </c>
      <c r="I133" s="8">
        <f>IF(TRIM(D133)="","",IFERROR(VALUE(D133),IFERROR((VALUE(LEFT(TRIM(D133),SEARCH(" o ",TRIM(D133))-1))+VALUE(LEFT(MID(TRIM(D133),SEARCH(" o ",TRIM(D133))+3,99),FIND(" ",MID(TRIM(D133),SEARCH(" o ",TRIM(D133))+3,99)&amp;" ")-1)))/2,IFERROR(VALUE(LEFT(TRIM(D133),FIND(" ",TRIM(D133)&amp;" ")-1)),""))))</f>
        <v/>
      </c>
    </row>
    <row r="134">
      <c r="A134" s="6" t="n"/>
      <c r="B134" s="7" t="n"/>
      <c r="C134" s="7" t="n"/>
      <c r="D134" s="7" t="n"/>
      <c r="E134" s="7" t="n"/>
      <c r="G134" s="8">
        <f>IF(TRIM(B134)="","",IFERROR(VALUE(B134),IFERROR((VALUE(LEFT(TRIM(B134),SEARCH(" o ",TRIM(B134))-1))+VALUE(LEFT(MID(TRIM(B134),SEARCH(" o ",TRIM(B134))+3,99),FIND(" ",MID(TRIM(B134),SEARCH(" o ",TRIM(B134))+3,99)&amp;" ")-1)))/2,IFERROR(VALUE(LEFT(TRIM(B134),FIND(" ",TRIM(B134)&amp;" ")-1)),""))))</f>
        <v/>
      </c>
      <c r="H134" s="8">
        <f>IF(TRIM(C134)="","",IFERROR(VALUE(C134),IFERROR((VALUE(LEFT(TRIM(C134),SEARCH(" o ",TRIM(C134))-1))+VALUE(LEFT(MID(TRIM(C134),SEARCH(" o ",TRIM(C134))+3,99),FIND(" ",MID(TRIM(C134),SEARCH(" o ",TRIM(C134))+3,99)&amp;" ")-1)))/2,IFERROR(VALUE(LEFT(TRIM(C134),FIND(" ",TRIM(C134)&amp;" ")-1)),""))))</f>
        <v/>
      </c>
      <c r="I134" s="8">
        <f>IF(TRIM(D134)="","",IFERROR(VALUE(D134),IFERROR((VALUE(LEFT(TRIM(D134),SEARCH(" o ",TRIM(D134))-1))+VALUE(LEFT(MID(TRIM(D134),SEARCH(" o ",TRIM(D134))+3,99),FIND(" ",MID(TRIM(D134),SEARCH(" o ",TRIM(D134))+3,99)&amp;" ")-1)))/2,IFERROR(VALUE(LEFT(TRIM(D134),FIND(" ",TRIM(D134)&amp;" ")-1)),""))))</f>
        <v/>
      </c>
    </row>
    <row r="135">
      <c r="A135" s="6" t="n"/>
      <c r="B135" s="7" t="n"/>
      <c r="C135" s="7" t="n"/>
      <c r="D135" s="7" t="n"/>
      <c r="E135" s="7" t="n"/>
      <c r="G135" s="8">
        <f>IF(TRIM(B135)="","",IFERROR(VALUE(B135),IFERROR((VALUE(LEFT(TRIM(B135),SEARCH(" o ",TRIM(B135))-1))+VALUE(LEFT(MID(TRIM(B135),SEARCH(" o ",TRIM(B135))+3,99),FIND(" ",MID(TRIM(B135),SEARCH(" o ",TRIM(B135))+3,99)&amp;" ")-1)))/2,IFERROR(VALUE(LEFT(TRIM(B135),FIND(" ",TRIM(B135)&amp;" ")-1)),""))))</f>
        <v/>
      </c>
      <c r="H135" s="8">
        <f>IF(TRIM(C135)="","",IFERROR(VALUE(C135),IFERROR((VALUE(LEFT(TRIM(C135),SEARCH(" o ",TRIM(C135))-1))+VALUE(LEFT(MID(TRIM(C135),SEARCH(" o ",TRIM(C135))+3,99),FIND(" ",MID(TRIM(C135),SEARCH(" o ",TRIM(C135))+3,99)&amp;" ")-1)))/2,IFERROR(VALUE(LEFT(TRIM(C135),FIND(" ",TRIM(C135)&amp;" ")-1)),""))))</f>
        <v/>
      </c>
      <c r="I135" s="8">
        <f>IF(TRIM(D135)="","",IFERROR(VALUE(D135),IFERROR((VALUE(LEFT(TRIM(D135),SEARCH(" o ",TRIM(D135))-1))+VALUE(LEFT(MID(TRIM(D135),SEARCH(" o ",TRIM(D135))+3,99),FIND(" ",MID(TRIM(D135),SEARCH(" o ",TRIM(D135))+3,99)&amp;" ")-1)))/2,IFERROR(VALUE(LEFT(TRIM(D135),FIND(" ",TRIM(D135)&amp;" ")-1)),""))))</f>
        <v/>
      </c>
    </row>
    <row r="136">
      <c r="A136" s="6" t="n"/>
      <c r="B136" s="7" t="n"/>
      <c r="C136" s="7" t="n"/>
      <c r="D136" s="7" t="n"/>
      <c r="E136" s="7" t="n"/>
      <c r="G136" s="8">
        <f>IF(TRIM(B136)="","",IFERROR(VALUE(B136),IFERROR((VALUE(LEFT(TRIM(B136),SEARCH(" o ",TRIM(B136))-1))+VALUE(LEFT(MID(TRIM(B136),SEARCH(" o ",TRIM(B136))+3,99),FIND(" ",MID(TRIM(B136),SEARCH(" o ",TRIM(B136))+3,99)&amp;" ")-1)))/2,IFERROR(VALUE(LEFT(TRIM(B136),FIND(" ",TRIM(B136)&amp;" ")-1)),""))))</f>
        <v/>
      </c>
      <c r="H136" s="8">
        <f>IF(TRIM(C136)="","",IFERROR(VALUE(C136),IFERROR((VALUE(LEFT(TRIM(C136),SEARCH(" o ",TRIM(C136))-1))+VALUE(LEFT(MID(TRIM(C136),SEARCH(" o ",TRIM(C136))+3,99),FIND(" ",MID(TRIM(C136),SEARCH(" o ",TRIM(C136))+3,99)&amp;" ")-1)))/2,IFERROR(VALUE(LEFT(TRIM(C136),FIND(" ",TRIM(C136)&amp;" ")-1)),""))))</f>
        <v/>
      </c>
      <c r="I136" s="8">
        <f>IF(TRIM(D136)="","",IFERROR(VALUE(D136),IFERROR((VALUE(LEFT(TRIM(D136),SEARCH(" o ",TRIM(D136))-1))+VALUE(LEFT(MID(TRIM(D136),SEARCH(" o ",TRIM(D136))+3,99),FIND(" ",MID(TRIM(D136),SEARCH(" o ",TRIM(D136))+3,99)&amp;" ")-1)))/2,IFERROR(VALUE(LEFT(TRIM(D136),FIND(" ",TRIM(D136)&amp;" ")-1)),""))))</f>
        <v/>
      </c>
    </row>
    <row r="137">
      <c r="A137" s="6" t="n"/>
      <c r="B137" s="7" t="n"/>
      <c r="C137" s="7" t="n"/>
      <c r="D137" s="7" t="n"/>
      <c r="E137" s="7" t="n"/>
      <c r="G137" s="8">
        <f>IF(TRIM(B137)="","",IFERROR(VALUE(B137),IFERROR((VALUE(LEFT(TRIM(B137),SEARCH(" o ",TRIM(B137))-1))+VALUE(LEFT(MID(TRIM(B137),SEARCH(" o ",TRIM(B137))+3,99),FIND(" ",MID(TRIM(B137),SEARCH(" o ",TRIM(B137))+3,99)&amp;" ")-1)))/2,IFERROR(VALUE(LEFT(TRIM(B137),FIND(" ",TRIM(B137)&amp;" ")-1)),""))))</f>
        <v/>
      </c>
      <c r="H137" s="8">
        <f>IF(TRIM(C137)="","",IFERROR(VALUE(C137),IFERROR((VALUE(LEFT(TRIM(C137),SEARCH(" o ",TRIM(C137))-1))+VALUE(LEFT(MID(TRIM(C137),SEARCH(" o ",TRIM(C137))+3,99),FIND(" ",MID(TRIM(C137),SEARCH(" o ",TRIM(C137))+3,99)&amp;" ")-1)))/2,IFERROR(VALUE(LEFT(TRIM(C137),FIND(" ",TRIM(C137)&amp;" ")-1)),""))))</f>
        <v/>
      </c>
      <c r="I137" s="8">
        <f>IF(TRIM(D137)="","",IFERROR(VALUE(D137),IFERROR((VALUE(LEFT(TRIM(D137),SEARCH(" o ",TRIM(D137))-1))+VALUE(LEFT(MID(TRIM(D137),SEARCH(" o ",TRIM(D137))+3,99),FIND(" ",MID(TRIM(D137),SEARCH(" o ",TRIM(D137))+3,99)&amp;" ")-1)))/2,IFERROR(VALUE(LEFT(TRIM(D137),FIND(" ",TRIM(D137)&amp;" ")-1)),""))))</f>
        <v/>
      </c>
    </row>
    <row r="138">
      <c r="A138" s="6" t="n"/>
      <c r="B138" s="7" t="n"/>
      <c r="C138" s="7" t="n"/>
      <c r="D138" s="7" t="n"/>
      <c r="E138" s="7" t="n"/>
      <c r="G138" s="8">
        <f>IF(TRIM(B138)="","",IFERROR(VALUE(B138),IFERROR((VALUE(LEFT(TRIM(B138),SEARCH(" o ",TRIM(B138))-1))+VALUE(LEFT(MID(TRIM(B138),SEARCH(" o ",TRIM(B138))+3,99),FIND(" ",MID(TRIM(B138),SEARCH(" o ",TRIM(B138))+3,99)&amp;" ")-1)))/2,IFERROR(VALUE(LEFT(TRIM(B138),FIND(" ",TRIM(B138)&amp;" ")-1)),""))))</f>
        <v/>
      </c>
      <c r="H138" s="8">
        <f>IF(TRIM(C138)="","",IFERROR(VALUE(C138),IFERROR((VALUE(LEFT(TRIM(C138),SEARCH(" o ",TRIM(C138))-1))+VALUE(LEFT(MID(TRIM(C138),SEARCH(" o ",TRIM(C138))+3,99),FIND(" ",MID(TRIM(C138),SEARCH(" o ",TRIM(C138))+3,99)&amp;" ")-1)))/2,IFERROR(VALUE(LEFT(TRIM(C138),FIND(" ",TRIM(C138)&amp;" ")-1)),""))))</f>
        <v/>
      </c>
      <c r="I138" s="8">
        <f>IF(TRIM(D138)="","",IFERROR(VALUE(D138),IFERROR((VALUE(LEFT(TRIM(D138),SEARCH(" o ",TRIM(D138))-1))+VALUE(LEFT(MID(TRIM(D138),SEARCH(" o ",TRIM(D138))+3,99),FIND(" ",MID(TRIM(D138),SEARCH(" o ",TRIM(D138))+3,99)&amp;" ")-1)))/2,IFERROR(VALUE(LEFT(TRIM(D138),FIND(" ",TRIM(D138)&amp;" ")-1)),""))))</f>
        <v/>
      </c>
    </row>
    <row r="139">
      <c r="A139" s="6" t="n"/>
      <c r="B139" s="7" t="n"/>
      <c r="C139" s="7" t="n"/>
      <c r="D139" s="7" t="n"/>
      <c r="E139" s="7" t="n"/>
      <c r="G139" s="8">
        <f>IF(TRIM(B139)="","",IFERROR(VALUE(B139),IFERROR((VALUE(LEFT(TRIM(B139),SEARCH(" o ",TRIM(B139))-1))+VALUE(LEFT(MID(TRIM(B139),SEARCH(" o ",TRIM(B139))+3,99),FIND(" ",MID(TRIM(B139),SEARCH(" o ",TRIM(B139))+3,99)&amp;" ")-1)))/2,IFERROR(VALUE(LEFT(TRIM(B139),FIND(" ",TRIM(B139)&amp;" ")-1)),""))))</f>
        <v/>
      </c>
      <c r="H139" s="8">
        <f>IF(TRIM(C139)="","",IFERROR(VALUE(C139),IFERROR((VALUE(LEFT(TRIM(C139),SEARCH(" o ",TRIM(C139))-1))+VALUE(LEFT(MID(TRIM(C139),SEARCH(" o ",TRIM(C139))+3,99),FIND(" ",MID(TRIM(C139),SEARCH(" o ",TRIM(C139))+3,99)&amp;" ")-1)))/2,IFERROR(VALUE(LEFT(TRIM(C139),FIND(" ",TRIM(C139)&amp;" ")-1)),""))))</f>
        <v/>
      </c>
      <c r="I139" s="8">
        <f>IF(TRIM(D139)="","",IFERROR(VALUE(D139),IFERROR((VALUE(LEFT(TRIM(D139),SEARCH(" o ",TRIM(D139))-1))+VALUE(LEFT(MID(TRIM(D139),SEARCH(" o ",TRIM(D139))+3,99),FIND(" ",MID(TRIM(D139),SEARCH(" o ",TRIM(D139))+3,99)&amp;" ")-1)))/2,IFERROR(VALUE(LEFT(TRIM(D139),FIND(" ",TRIM(D139)&amp;" ")-1)),""))))</f>
        <v/>
      </c>
    </row>
    <row r="140">
      <c r="A140" s="6" t="n"/>
      <c r="B140" s="7" t="n"/>
      <c r="C140" s="7" t="n"/>
      <c r="D140" s="7" t="n"/>
      <c r="E140" s="7" t="n"/>
      <c r="G140" s="8">
        <f>IF(TRIM(B140)="","",IFERROR(VALUE(B140),IFERROR((VALUE(LEFT(TRIM(B140),SEARCH(" o ",TRIM(B140))-1))+VALUE(LEFT(MID(TRIM(B140),SEARCH(" o ",TRIM(B140))+3,99),FIND(" ",MID(TRIM(B140),SEARCH(" o ",TRIM(B140))+3,99)&amp;" ")-1)))/2,IFERROR(VALUE(LEFT(TRIM(B140),FIND(" ",TRIM(B140)&amp;" ")-1)),""))))</f>
        <v/>
      </c>
      <c r="H140" s="8">
        <f>IF(TRIM(C140)="","",IFERROR(VALUE(C140),IFERROR((VALUE(LEFT(TRIM(C140),SEARCH(" o ",TRIM(C140))-1))+VALUE(LEFT(MID(TRIM(C140),SEARCH(" o ",TRIM(C140))+3,99),FIND(" ",MID(TRIM(C140),SEARCH(" o ",TRIM(C140))+3,99)&amp;" ")-1)))/2,IFERROR(VALUE(LEFT(TRIM(C140),FIND(" ",TRIM(C140)&amp;" ")-1)),""))))</f>
        <v/>
      </c>
      <c r="I140" s="8">
        <f>IF(TRIM(D140)="","",IFERROR(VALUE(D140),IFERROR((VALUE(LEFT(TRIM(D140),SEARCH(" o ",TRIM(D140))-1))+VALUE(LEFT(MID(TRIM(D140),SEARCH(" o ",TRIM(D140))+3,99),FIND(" ",MID(TRIM(D140),SEARCH(" o ",TRIM(D140))+3,99)&amp;" ")-1)))/2,IFERROR(VALUE(LEFT(TRIM(D140),FIND(" ",TRIM(D140)&amp;" ")-1)),""))))</f>
        <v/>
      </c>
    </row>
    <row r="141">
      <c r="A141" s="6" t="n"/>
      <c r="B141" s="7" t="n"/>
      <c r="C141" s="7" t="n"/>
      <c r="D141" s="7" t="n"/>
      <c r="E141" s="7" t="n"/>
      <c r="G141" s="8">
        <f>IF(TRIM(B141)="","",IFERROR(VALUE(B141),IFERROR((VALUE(LEFT(TRIM(B141),SEARCH(" o ",TRIM(B141))-1))+VALUE(LEFT(MID(TRIM(B141),SEARCH(" o ",TRIM(B141))+3,99),FIND(" ",MID(TRIM(B141),SEARCH(" o ",TRIM(B141))+3,99)&amp;" ")-1)))/2,IFERROR(VALUE(LEFT(TRIM(B141),FIND(" ",TRIM(B141)&amp;" ")-1)),""))))</f>
        <v/>
      </c>
      <c r="H141" s="8">
        <f>IF(TRIM(C141)="","",IFERROR(VALUE(C141),IFERROR((VALUE(LEFT(TRIM(C141),SEARCH(" o ",TRIM(C141))-1))+VALUE(LEFT(MID(TRIM(C141),SEARCH(" o ",TRIM(C141))+3,99),FIND(" ",MID(TRIM(C141),SEARCH(" o ",TRIM(C141))+3,99)&amp;" ")-1)))/2,IFERROR(VALUE(LEFT(TRIM(C141),FIND(" ",TRIM(C141)&amp;" ")-1)),""))))</f>
        <v/>
      </c>
      <c r="I141" s="8">
        <f>IF(TRIM(D141)="","",IFERROR(VALUE(D141),IFERROR((VALUE(LEFT(TRIM(D141),SEARCH(" o ",TRIM(D141))-1))+VALUE(LEFT(MID(TRIM(D141),SEARCH(" o ",TRIM(D141))+3,99),FIND(" ",MID(TRIM(D141),SEARCH(" o ",TRIM(D141))+3,99)&amp;" ")-1)))/2,IFERROR(VALUE(LEFT(TRIM(D141),FIND(" ",TRIM(D141)&amp;" ")-1)),""))))</f>
        <v/>
      </c>
    </row>
    <row r="142">
      <c r="A142" s="6" t="n"/>
      <c r="B142" s="7" t="n"/>
      <c r="C142" s="7" t="n"/>
      <c r="D142" s="7" t="n"/>
      <c r="E142" s="7" t="n"/>
      <c r="G142" s="8">
        <f>IF(TRIM(B142)="","",IFERROR(VALUE(B142),IFERROR((VALUE(LEFT(TRIM(B142),SEARCH(" o ",TRIM(B142))-1))+VALUE(LEFT(MID(TRIM(B142),SEARCH(" o ",TRIM(B142))+3,99),FIND(" ",MID(TRIM(B142),SEARCH(" o ",TRIM(B142))+3,99)&amp;" ")-1)))/2,IFERROR(VALUE(LEFT(TRIM(B142),FIND(" ",TRIM(B142)&amp;" ")-1)),""))))</f>
        <v/>
      </c>
      <c r="H142" s="8">
        <f>IF(TRIM(C142)="","",IFERROR(VALUE(C142),IFERROR((VALUE(LEFT(TRIM(C142),SEARCH(" o ",TRIM(C142))-1))+VALUE(LEFT(MID(TRIM(C142),SEARCH(" o ",TRIM(C142))+3,99),FIND(" ",MID(TRIM(C142),SEARCH(" o ",TRIM(C142))+3,99)&amp;" ")-1)))/2,IFERROR(VALUE(LEFT(TRIM(C142),FIND(" ",TRIM(C142)&amp;" ")-1)),""))))</f>
        <v/>
      </c>
      <c r="I142" s="8">
        <f>IF(TRIM(D142)="","",IFERROR(VALUE(D142),IFERROR((VALUE(LEFT(TRIM(D142),SEARCH(" o ",TRIM(D142))-1))+VALUE(LEFT(MID(TRIM(D142),SEARCH(" o ",TRIM(D142))+3,99),FIND(" ",MID(TRIM(D142),SEARCH(" o ",TRIM(D142))+3,99)&amp;" ")-1)))/2,IFERROR(VALUE(LEFT(TRIM(D142),FIND(" ",TRIM(D142)&amp;" ")-1)),""))))</f>
        <v/>
      </c>
    </row>
    <row r="143">
      <c r="A143" s="6" t="n"/>
      <c r="B143" s="7" t="n"/>
      <c r="C143" s="7" t="n"/>
      <c r="D143" s="7" t="n"/>
      <c r="E143" s="7" t="n"/>
      <c r="G143" s="8">
        <f>IF(TRIM(B143)="","",IFERROR(VALUE(B143),IFERROR((VALUE(LEFT(TRIM(B143),SEARCH(" o ",TRIM(B143))-1))+VALUE(LEFT(MID(TRIM(B143),SEARCH(" o ",TRIM(B143))+3,99),FIND(" ",MID(TRIM(B143),SEARCH(" o ",TRIM(B143))+3,99)&amp;" ")-1)))/2,IFERROR(VALUE(LEFT(TRIM(B143),FIND(" ",TRIM(B143)&amp;" ")-1)),""))))</f>
        <v/>
      </c>
      <c r="H143" s="8">
        <f>IF(TRIM(C143)="","",IFERROR(VALUE(C143),IFERROR((VALUE(LEFT(TRIM(C143),SEARCH(" o ",TRIM(C143))-1))+VALUE(LEFT(MID(TRIM(C143),SEARCH(" o ",TRIM(C143))+3,99),FIND(" ",MID(TRIM(C143),SEARCH(" o ",TRIM(C143))+3,99)&amp;" ")-1)))/2,IFERROR(VALUE(LEFT(TRIM(C143),FIND(" ",TRIM(C143)&amp;" ")-1)),""))))</f>
        <v/>
      </c>
      <c r="I143" s="8">
        <f>IF(TRIM(D143)="","",IFERROR(VALUE(D143),IFERROR((VALUE(LEFT(TRIM(D143),SEARCH(" o ",TRIM(D143))-1))+VALUE(LEFT(MID(TRIM(D143),SEARCH(" o ",TRIM(D143))+3,99),FIND(" ",MID(TRIM(D143),SEARCH(" o ",TRIM(D143))+3,99)&amp;" ")-1)))/2,IFERROR(VALUE(LEFT(TRIM(D143),FIND(" ",TRIM(D143)&amp;" ")-1)),""))))</f>
        <v/>
      </c>
    </row>
    <row r="144">
      <c r="A144" s="6" t="n"/>
      <c r="B144" s="7" t="n"/>
      <c r="C144" s="7" t="n"/>
      <c r="D144" s="7" t="n"/>
      <c r="E144" s="7" t="n"/>
      <c r="G144" s="8">
        <f>IF(TRIM(B144)="","",IFERROR(VALUE(B144),IFERROR((VALUE(LEFT(TRIM(B144),SEARCH(" o ",TRIM(B144))-1))+VALUE(LEFT(MID(TRIM(B144),SEARCH(" o ",TRIM(B144))+3,99),FIND(" ",MID(TRIM(B144),SEARCH(" o ",TRIM(B144))+3,99)&amp;" ")-1)))/2,IFERROR(VALUE(LEFT(TRIM(B144),FIND(" ",TRIM(B144)&amp;" ")-1)),""))))</f>
        <v/>
      </c>
      <c r="H144" s="8">
        <f>IF(TRIM(C144)="","",IFERROR(VALUE(C144),IFERROR((VALUE(LEFT(TRIM(C144),SEARCH(" o ",TRIM(C144))-1))+VALUE(LEFT(MID(TRIM(C144),SEARCH(" o ",TRIM(C144))+3,99),FIND(" ",MID(TRIM(C144),SEARCH(" o ",TRIM(C144))+3,99)&amp;" ")-1)))/2,IFERROR(VALUE(LEFT(TRIM(C144),FIND(" ",TRIM(C144)&amp;" ")-1)),""))))</f>
        <v/>
      </c>
      <c r="I144" s="8">
        <f>IF(TRIM(D144)="","",IFERROR(VALUE(D144),IFERROR((VALUE(LEFT(TRIM(D144),SEARCH(" o ",TRIM(D144))-1))+VALUE(LEFT(MID(TRIM(D144),SEARCH(" o ",TRIM(D144))+3,99),FIND(" ",MID(TRIM(D144),SEARCH(" o ",TRIM(D144))+3,99)&amp;" ")-1)))/2,IFERROR(VALUE(LEFT(TRIM(D144),FIND(" ",TRIM(D144)&amp;" ")-1)),""))))</f>
        <v/>
      </c>
    </row>
    <row r="145">
      <c r="A145" s="6" t="n"/>
      <c r="B145" s="7" t="n"/>
      <c r="C145" s="7" t="n"/>
      <c r="D145" s="7" t="n"/>
      <c r="E145" s="7" t="n"/>
      <c r="G145" s="8">
        <f>IF(TRIM(B145)="","",IFERROR(VALUE(B145),IFERROR((VALUE(LEFT(TRIM(B145),SEARCH(" o ",TRIM(B145))-1))+VALUE(LEFT(MID(TRIM(B145),SEARCH(" o ",TRIM(B145))+3,99),FIND(" ",MID(TRIM(B145),SEARCH(" o ",TRIM(B145))+3,99)&amp;" ")-1)))/2,IFERROR(VALUE(LEFT(TRIM(B145),FIND(" ",TRIM(B145)&amp;" ")-1)),""))))</f>
        <v/>
      </c>
      <c r="H145" s="8">
        <f>IF(TRIM(C145)="","",IFERROR(VALUE(C145),IFERROR((VALUE(LEFT(TRIM(C145),SEARCH(" o ",TRIM(C145))-1))+VALUE(LEFT(MID(TRIM(C145),SEARCH(" o ",TRIM(C145))+3,99),FIND(" ",MID(TRIM(C145),SEARCH(" o ",TRIM(C145))+3,99)&amp;" ")-1)))/2,IFERROR(VALUE(LEFT(TRIM(C145),FIND(" ",TRIM(C145)&amp;" ")-1)),""))))</f>
        <v/>
      </c>
      <c r="I145" s="8">
        <f>IF(TRIM(D145)="","",IFERROR(VALUE(D145),IFERROR((VALUE(LEFT(TRIM(D145),SEARCH(" o ",TRIM(D145))-1))+VALUE(LEFT(MID(TRIM(D145),SEARCH(" o ",TRIM(D145))+3,99),FIND(" ",MID(TRIM(D145),SEARCH(" o ",TRIM(D145))+3,99)&amp;" ")-1)))/2,IFERROR(VALUE(LEFT(TRIM(D145),FIND(" ",TRIM(D145)&amp;" ")-1)),""))))</f>
        <v/>
      </c>
    </row>
    <row r="146">
      <c r="A146" s="6" t="n"/>
      <c r="B146" s="7" t="n"/>
      <c r="C146" s="7" t="n"/>
      <c r="D146" s="7" t="n"/>
      <c r="E146" s="7" t="n"/>
      <c r="G146" s="8">
        <f>IF(TRIM(B146)="","",IFERROR(VALUE(B146),IFERROR((VALUE(LEFT(TRIM(B146),SEARCH(" o ",TRIM(B146))-1))+VALUE(LEFT(MID(TRIM(B146),SEARCH(" o ",TRIM(B146))+3,99),FIND(" ",MID(TRIM(B146),SEARCH(" o ",TRIM(B146))+3,99)&amp;" ")-1)))/2,IFERROR(VALUE(LEFT(TRIM(B146),FIND(" ",TRIM(B146)&amp;" ")-1)),""))))</f>
        <v/>
      </c>
      <c r="H146" s="8">
        <f>IF(TRIM(C146)="","",IFERROR(VALUE(C146),IFERROR((VALUE(LEFT(TRIM(C146),SEARCH(" o ",TRIM(C146))-1))+VALUE(LEFT(MID(TRIM(C146),SEARCH(" o ",TRIM(C146))+3,99),FIND(" ",MID(TRIM(C146),SEARCH(" o ",TRIM(C146))+3,99)&amp;" ")-1)))/2,IFERROR(VALUE(LEFT(TRIM(C146),FIND(" ",TRIM(C146)&amp;" ")-1)),""))))</f>
        <v/>
      </c>
      <c r="I146" s="8">
        <f>IF(TRIM(D146)="","",IFERROR(VALUE(D146),IFERROR((VALUE(LEFT(TRIM(D146),SEARCH(" o ",TRIM(D146))-1))+VALUE(LEFT(MID(TRIM(D146),SEARCH(" o ",TRIM(D146))+3,99),FIND(" ",MID(TRIM(D146),SEARCH(" o ",TRIM(D146))+3,99)&amp;" ")-1)))/2,IFERROR(VALUE(LEFT(TRIM(D146),FIND(" ",TRIM(D146)&amp;" ")-1)),""))))</f>
        <v/>
      </c>
    </row>
    <row r="147">
      <c r="A147" s="6" t="n"/>
      <c r="B147" s="7" t="n"/>
      <c r="C147" s="7" t="n"/>
      <c r="D147" s="7" t="n"/>
      <c r="E147" s="7" t="n"/>
      <c r="G147" s="8">
        <f>IF(TRIM(B147)="","",IFERROR(VALUE(B147),IFERROR((VALUE(LEFT(TRIM(B147),SEARCH(" o ",TRIM(B147))-1))+VALUE(LEFT(MID(TRIM(B147),SEARCH(" o ",TRIM(B147))+3,99),FIND(" ",MID(TRIM(B147),SEARCH(" o ",TRIM(B147))+3,99)&amp;" ")-1)))/2,IFERROR(VALUE(LEFT(TRIM(B147),FIND(" ",TRIM(B147)&amp;" ")-1)),""))))</f>
        <v/>
      </c>
      <c r="H147" s="8">
        <f>IF(TRIM(C147)="","",IFERROR(VALUE(C147),IFERROR((VALUE(LEFT(TRIM(C147),SEARCH(" o ",TRIM(C147))-1))+VALUE(LEFT(MID(TRIM(C147),SEARCH(" o ",TRIM(C147))+3,99),FIND(" ",MID(TRIM(C147),SEARCH(" o ",TRIM(C147))+3,99)&amp;" ")-1)))/2,IFERROR(VALUE(LEFT(TRIM(C147),FIND(" ",TRIM(C147)&amp;" ")-1)),""))))</f>
        <v/>
      </c>
      <c r="I147" s="8">
        <f>IF(TRIM(D147)="","",IFERROR(VALUE(D147),IFERROR((VALUE(LEFT(TRIM(D147),SEARCH(" o ",TRIM(D147))-1))+VALUE(LEFT(MID(TRIM(D147),SEARCH(" o ",TRIM(D147))+3,99),FIND(" ",MID(TRIM(D147),SEARCH(" o ",TRIM(D147))+3,99)&amp;" ")-1)))/2,IFERROR(VALUE(LEFT(TRIM(D147),FIND(" ",TRIM(D147)&amp;" ")-1)),""))))</f>
        <v/>
      </c>
    </row>
    <row r="148">
      <c r="A148" s="6" t="n"/>
      <c r="B148" s="7" t="n"/>
      <c r="C148" s="7" t="n"/>
      <c r="D148" s="7" t="n"/>
      <c r="E148" s="7" t="n"/>
      <c r="G148" s="8">
        <f>IF(TRIM(B148)="","",IFERROR(VALUE(B148),IFERROR((VALUE(LEFT(TRIM(B148),SEARCH(" o ",TRIM(B148))-1))+VALUE(LEFT(MID(TRIM(B148),SEARCH(" o ",TRIM(B148))+3,99),FIND(" ",MID(TRIM(B148),SEARCH(" o ",TRIM(B148))+3,99)&amp;" ")-1)))/2,IFERROR(VALUE(LEFT(TRIM(B148),FIND(" ",TRIM(B148)&amp;" ")-1)),""))))</f>
        <v/>
      </c>
      <c r="H148" s="8">
        <f>IF(TRIM(C148)="","",IFERROR(VALUE(C148),IFERROR((VALUE(LEFT(TRIM(C148),SEARCH(" o ",TRIM(C148))-1))+VALUE(LEFT(MID(TRIM(C148),SEARCH(" o ",TRIM(C148))+3,99),FIND(" ",MID(TRIM(C148),SEARCH(" o ",TRIM(C148))+3,99)&amp;" ")-1)))/2,IFERROR(VALUE(LEFT(TRIM(C148),FIND(" ",TRIM(C148)&amp;" ")-1)),""))))</f>
        <v/>
      </c>
      <c r="I148" s="8">
        <f>IF(TRIM(D148)="","",IFERROR(VALUE(D148),IFERROR((VALUE(LEFT(TRIM(D148),SEARCH(" o ",TRIM(D148))-1))+VALUE(LEFT(MID(TRIM(D148),SEARCH(" o ",TRIM(D148))+3,99),FIND(" ",MID(TRIM(D148),SEARCH(" o ",TRIM(D148))+3,99)&amp;" ")-1)))/2,IFERROR(VALUE(LEFT(TRIM(D148),FIND(" ",TRIM(D148)&amp;" ")-1)),""))))</f>
        <v/>
      </c>
    </row>
    <row r="149">
      <c r="A149" s="6" t="n"/>
      <c r="B149" s="7" t="n"/>
      <c r="C149" s="7" t="n"/>
      <c r="D149" s="7" t="n"/>
      <c r="E149" s="7" t="n"/>
      <c r="G149" s="8">
        <f>IF(TRIM(B149)="","",IFERROR(VALUE(B149),IFERROR((VALUE(LEFT(TRIM(B149),SEARCH(" o ",TRIM(B149))-1))+VALUE(LEFT(MID(TRIM(B149),SEARCH(" o ",TRIM(B149))+3,99),FIND(" ",MID(TRIM(B149),SEARCH(" o ",TRIM(B149))+3,99)&amp;" ")-1)))/2,IFERROR(VALUE(LEFT(TRIM(B149),FIND(" ",TRIM(B149)&amp;" ")-1)),""))))</f>
        <v/>
      </c>
      <c r="H149" s="8">
        <f>IF(TRIM(C149)="","",IFERROR(VALUE(C149),IFERROR((VALUE(LEFT(TRIM(C149),SEARCH(" o ",TRIM(C149))-1))+VALUE(LEFT(MID(TRIM(C149),SEARCH(" o ",TRIM(C149))+3,99),FIND(" ",MID(TRIM(C149),SEARCH(" o ",TRIM(C149))+3,99)&amp;" ")-1)))/2,IFERROR(VALUE(LEFT(TRIM(C149),FIND(" ",TRIM(C149)&amp;" ")-1)),""))))</f>
        <v/>
      </c>
      <c r="I149" s="8">
        <f>IF(TRIM(D149)="","",IFERROR(VALUE(D149),IFERROR((VALUE(LEFT(TRIM(D149),SEARCH(" o ",TRIM(D149))-1))+VALUE(LEFT(MID(TRIM(D149),SEARCH(" o ",TRIM(D149))+3,99),FIND(" ",MID(TRIM(D149),SEARCH(" o ",TRIM(D149))+3,99)&amp;" ")-1)))/2,IFERROR(VALUE(LEFT(TRIM(D149),FIND(" ",TRIM(D149)&amp;" ")-1)),""))))</f>
        <v/>
      </c>
    </row>
    <row r="150">
      <c r="A150" s="6" t="n"/>
      <c r="B150" s="7" t="n"/>
      <c r="C150" s="7" t="n"/>
      <c r="D150" s="7" t="n"/>
      <c r="E150" s="7" t="n"/>
      <c r="G150" s="8">
        <f>IF(TRIM(B150)="","",IFERROR(VALUE(B150),IFERROR((VALUE(LEFT(TRIM(B150),SEARCH(" o ",TRIM(B150))-1))+VALUE(LEFT(MID(TRIM(B150),SEARCH(" o ",TRIM(B150))+3,99),FIND(" ",MID(TRIM(B150),SEARCH(" o ",TRIM(B150))+3,99)&amp;" ")-1)))/2,IFERROR(VALUE(LEFT(TRIM(B150),FIND(" ",TRIM(B150)&amp;" ")-1)),""))))</f>
        <v/>
      </c>
      <c r="H150" s="8">
        <f>IF(TRIM(C150)="","",IFERROR(VALUE(C150),IFERROR((VALUE(LEFT(TRIM(C150),SEARCH(" o ",TRIM(C150))-1))+VALUE(LEFT(MID(TRIM(C150),SEARCH(" o ",TRIM(C150))+3,99),FIND(" ",MID(TRIM(C150),SEARCH(" o ",TRIM(C150))+3,99)&amp;" ")-1)))/2,IFERROR(VALUE(LEFT(TRIM(C150),FIND(" ",TRIM(C150)&amp;" ")-1)),""))))</f>
        <v/>
      </c>
      <c r="I150" s="8">
        <f>IF(TRIM(D150)="","",IFERROR(VALUE(D150),IFERROR((VALUE(LEFT(TRIM(D150),SEARCH(" o ",TRIM(D150))-1))+VALUE(LEFT(MID(TRIM(D150),SEARCH(" o ",TRIM(D150))+3,99),FIND(" ",MID(TRIM(D150),SEARCH(" o ",TRIM(D150))+3,99)&amp;" ")-1)))/2,IFERROR(VALUE(LEFT(TRIM(D150),FIND(" ",TRIM(D150)&amp;" ")-1)),""))))</f>
        <v/>
      </c>
    </row>
    <row r="151">
      <c r="A151" s="6" t="n"/>
      <c r="B151" s="7" t="n"/>
      <c r="C151" s="7" t="n"/>
      <c r="D151" s="7" t="n"/>
      <c r="E151" s="7" t="n"/>
      <c r="G151" s="8">
        <f>IF(TRIM(B151)="","",IFERROR(VALUE(B151),IFERROR((VALUE(LEFT(TRIM(B151),SEARCH(" o ",TRIM(B151))-1))+VALUE(LEFT(MID(TRIM(B151),SEARCH(" o ",TRIM(B151))+3,99),FIND(" ",MID(TRIM(B151),SEARCH(" o ",TRIM(B151))+3,99)&amp;" ")-1)))/2,IFERROR(VALUE(LEFT(TRIM(B151),FIND(" ",TRIM(B151)&amp;" ")-1)),""))))</f>
        <v/>
      </c>
      <c r="H151" s="8">
        <f>IF(TRIM(C151)="","",IFERROR(VALUE(C151),IFERROR((VALUE(LEFT(TRIM(C151),SEARCH(" o ",TRIM(C151))-1))+VALUE(LEFT(MID(TRIM(C151),SEARCH(" o ",TRIM(C151))+3,99),FIND(" ",MID(TRIM(C151),SEARCH(" o ",TRIM(C151))+3,99)&amp;" ")-1)))/2,IFERROR(VALUE(LEFT(TRIM(C151),FIND(" ",TRIM(C151)&amp;" ")-1)),""))))</f>
        <v/>
      </c>
      <c r="I151" s="8">
        <f>IF(TRIM(D151)="","",IFERROR(VALUE(D151),IFERROR((VALUE(LEFT(TRIM(D151),SEARCH(" o ",TRIM(D151))-1))+VALUE(LEFT(MID(TRIM(D151),SEARCH(" o ",TRIM(D151))+3,99),FIND(" ",MID(TRIM(D151),SEARCH(" o ",TRIM(D151))+3,99)&amp;" ")-1)))/2,IFERROR(VALUE(LEFT(TRIM(D151),FIND(" ",TRIM(D151)&amp;" ")-1)),""))))</f>
        <v/>
      </c>
    </row>
    <row r="152">
      <c r="A152" s="6" t="n"/>
      <c r="B152" s="7" t="n"/>
      <c r="C152" s="7" t="n"/>
      <c r="D152" s="7" t="n"/>
      <c r="E152" s="7" t="n"/>
      <c r="G152" s="8">
        <f>IF(TRIM(B152)="","",IFERROR(VALUE(B152),IFERROR((VALUE(LEFT(TRIM(B152),SEARCH(" o ",TRIM(B152))-1))+VALUE(LEFT(MID(TRIM(B152),SEARCH(" o ",TRIM(B152))+3,99),FIND(" ",MID(TRIM(B152),SEARCH(" o ",TRIM(B152))+3,99)&amp;" ")-1)))/2,IFERROR(VALUE(LEFT(TRIM(B152),FIND(" ",TRIM(B152)&amp;" ")-1)),""))))</f>
        <v/>
      </c>
      <c r="H152" s="8">
        <f>IF(TRIM(C152)="","",IFERROR(VALUE(C152),IFERROR((VALUE(LEFT(TRIM(C152),SEARCH(" o ",TRIM(C152))-1))+VALUE(LEFT(MID(TRIM(C152),SEARCH(" o ",TRIM(C152))+3,99),FIND(" ",MID(TRIM(C152),SEARCH(" o ",TRIM(C152))+3,99)&amp;" ")-1)))/2,IFERROR(VALUE(LEFT(TRIM(C152),FIND(" ",TRIM(C152)&amp;" ")-1)),""))))</f>
        <v/>
      </c>
      <c r="I152" s="8">
        <f>IF(TRIM(D152)="","",IFERROR(VALUE(D152),IFERROR((VALUE(LEFT(TRIM(D152),SEARCH(" o ",TRIM(D152))-1))+VALUE(LEFT(MID(TRIM(D152),SEARCH(" o ",TRIM(D152))+3,99),FIND(" ",MID(TRIM(D152),SEARCH(" o ",TRIM(D152))+3,99)&amp;" ")-1)))/2,IFERROR(VALUE(LEFT(TRIM(D152),FIND(" ",TRIM(D152)&amp;" ")-1)),""))))</f>
        <v/>
      </c>
    </row>
    <row r="153">
      <c r="A153" s="6" t="n"/>
      <c r="B153" s="7" t="n"/>
      <c r="C153" s="7" t="n"/>
      <c r="D153" s="7" t="n"/>
      <c r="E153" s="7" t="n"/>
      <c r="G153" s="8">
        <f>IF(TRIM(B153)="","",IFERROR(VALUE(B153),IFERROR((VALUE(LEFT(TRIM(B153),SEARCH(" o ",TRIM(B153))-1))+VALUE(LEFT(MID(TRIM(B153),SEARCH(" o ",TRIM(B153))+3,99),FIND(" ",MID(TRIM(B153),SEARCH(" o ",TRIM(B153))+3,99)&amp;" ")-1)))/2,IFERROR(VALUE(LEFT(TRIM(B153),FIND(" ",TRIM(B153)&amp;" ")-1)),""))))</f>
        <v/>
      </c>
      <c r="H153" s="8">
        <f>IF(TRIM(C153)="","",IFERROR(VALUE(C153),IFERROR((VALUE(LEFT(TRIM(C153),SEARCH(" o ",TRIM(C153))-1))+VALUE(LEFT(MID(TRIM(C153),SEARCH(" o ",TRIM(C153))+3,99),FIND(" ",MID(TRIM(C153),SEARCH(" o ",TRIM(C153))+3,99)&amp;" ")-1)))/2,IFERROR(VALUE(LEFT(TRIM(C153),FIND(" ",TRIM(C153)&amp;" ")-1)),""))))</f>
        <v/>
      </c>
      <c r="I153" s="8">
        <f>IF(TRIM(D153)="","",IFERROR(VALUE(D153),IFERROR((VALUE(LEFT(TRIM(D153),SEARCH(" o ",TRIM(D153))-1))+VALUE(LEFT(MID(TRIM(D153),SEARCH(" o ",TRIM(D153))+3,99),FIND(" ",MID(TRIM(D153),SEARCH(" o ",TRIM(D153))+3,99)&amp;" ")-1)))/2,IFERROR(VALUE(LEFT(TRIM(D153),FIND(" ",TRIM(D153)&amp;" ")-1)),""))))</f>
        <v/>
      </c>
    </row>
    <row r="154">
      <c r="A154" s="6" t="n"/>
      <c r="B154" s="7" t="n"/>
      <c r="C154" s="7" t="n"/>
      <c r="D154" s="7" t="n"/>
      <c r="E154" s="7" t="n"/>
      <c r="G154" s="8">
        <f>IF(TRIM(B154)="","",IFERROR(VALUE(B154),IFERROR((VALUE(LEFT(TRIM(B154),SEARCH(" o ",TRIM(B154))-1))+VALUE(LEFT(MID(TRIM(B154),SEARCH(" o ",TRIM(B154))+3,99),FIND(" ",MID(TRIM(B154),SEARCH(" o ",TRIM(B154))+3,99)&amp;" ")-1)))/2,IFERROR(VALUE(LEFT(TRIM(B154),FIND(" ",TRIM(B154)&amp;" ")-1)),""))))</f>
        <v/>
      </c>
      <c r="H154" s="8">
        <f>IF(TRIM(C154)="","",IFERROR(VALUE(C154),IFERROR((VALUE(LEFT(TRIM(C154),SEARCH(" o ",TRIM(C154))-1))+VALUE(LEFT(MID(TRIM(C154),SEARCH(" o ",TRIM(C154))+3,99),FIND(" ",MID(TRIM(C154),SEARCH(" o ",TRIM(C154))+3,99)&amp;" ")-1)))/2,IFERROR(VALUE(LEFT(TRIM(C154),FIND(" ",TRIM(C154)&amp;" ")-1)),""))))</f>
        <v/>
      </c>
      <c r="I154" s="8">
        <f>IF(TRIM(D154)="","",IFERROR(VALUE(D154),IFERROR((VALUE(LEFT(TRIM(D154),SEARCH(" o ",TRIM(D154))-1))+VALUE(LEFT(MID(TRIM(D154),SEARCH(" o ",TRIM(D154))+3,99),FIND(" ",MID(TRIM(D154),SEARCH(" o ",TRIM(D154))+3,99)&amp;" ")-1)))/2,IFERROR(VALUE(LEFT(TRIM(D154),FIND(" ",TRIM(D154)&amp;" ")-1)),""))))</f>
        <v/>
      </c>
    </row>
    <row r="155">
      <c r="A155" s="6" t="n"/>
      <c r="B155" s="7" t="n"/>
      <c r="C155" s="7" t="n"/>
      <c r="D155" s="7" t="n"/>
      <c r="E155" s="7" t="n"/>
      <c r="G155" s="8">
        <f>IF(TRIM(B155)="","",IFERROR(VALUE(B155),IFERROR((VALUE(LEFT(TRIM(B155),SEARCH(" o ",TRIM(B155))-1))+VALUE(LEFT(MID(TRIM(B155),SEARCH(" o ",TRIM(B155))+3,99),FIND(" ",MID(TRIM(B155),SEARCH(" o ",TRIM(B155))+3,99)&amp;" ")-1)))/2,IFERROR(VALUE(LEFT(TRIM(B155),FIND(" ",TRIM(B155)&amp;" ")-1)),""))))</f>
        <v/>
      </c>
      <c r="H155" s="8">
        <f>IF(TRIM(C155)="","",IFERROR(VALUE(C155),IFERROR((VALUE(LEFT(TRIM(C155),SEARCH(" o ",TRIM(C155))-1))+VALUE(LEFT(MID(TRIM(C155),SEARCH(" o ",TRIM(C155))+3,99),FIND(" ",MID(TRIM(C155),SEARCH(" o ",TRIM(C155))+3,99)&amp;" ")-1)))/2,IFERROR(VALUE(LEFT(TRIM(C155),FIND(" ",TRIM(C155)&amp;" ")-1)),""))))</f>
        <v/>
      </c>
      <c r="I155" s="8">
        <f>IF(TRIM(D155)="","",IFERROR(VALUE(D155),IFERROR((VALUE(LEFT(TRIM(D155),SEARCH(" o ",TRIM(D155))-1))+VALUE(LEFT(MID(TRIM(D155),SEARCH(" o ",TRIM(D155))+3,99),FIND(" ",MID(TRIM(D155),SEARCH(" o ",TRIM(D155))+3,99)&amp;" ")-1)))/2,IFERROR(VALUE(LEFT(TRIM(D155),FIND(" ",TRIM(D155)&amp;" ")-1)),""))))</f>
        <v/>
      </c>
    </row>
    <row r="156">
      <c r="A156" s="6" t="n"/>
      <c r="B156" s="7" t="n"/>
      <c r="C156" s="7" t="n"/>
      <c r="D156" s="7" t="n"/>
      <c r="E156" s="7" t="n"/>
      <c r="G156" s="8">
        <f>IF(TRIM(B156)="","",IFERROR(VALUE(B156),IFERROR((VALUE(LEFT(TRIM(B156),SEARCH(" o ",TRIM(B156))-1))+VALUE(LEFT(MID(TRIM(B156),SEARCH(" o ",TRIM(B156))+3,99),FIND(" ",MID(TRIM(B156),SEARCH(" o ",TRIM(B156))+3,99)&amp;" ")-1)))/2,IFERROR(VALUE(LEFT(TRIM(B156),FIND(" ",TRIM(B156)&amp;" ")-1)),""))))</f>
        <v/>
      </c>
      <c r="H156" s="8">
        <f>IF(TRIM(C156)="","",IFERROR(VALUE(C156),IFERROR((VALUE(LEFT(TRIM(C156),SEARCH(" o ",TRIM(C156))-1))+VALUE(LEFT(MID(TRIM(C156),SEARCH(" o ",TRIM(C156))+3,99),FIND(" ",MID(TRIM(C156),SEARCH(" o ",TRIM(C156))+3,99)&amp;" ")-1)))/2,IFERROR(VALUE(LEFT(TRIM(C156),FIND(" ",TRIM(C156)&amp;" ")-1)),""))))</f>
        <v/>
      </c>
      <c r="I156" s="8">
        <f>IF(TRIM(D156)="","",IFERROR(VALUE(D156),IFERROR((VALUE(LEFT(TRIM(D156),SEARCH(" o ",TRIM(D156))-1))+VALUE(LEFT(MID(TRIM(D156),SEARCH(" o ",TRIM(D156))+3,99),FIND(" ",MID(TRIM(D156),SEARCH(" o ",TRIM(D156))+3,99)&amp;" ")-1)))/2,IFERROR(VALUE(LEFT(TRIM(D156),FIND(" ",TRIM(D156)&amp;" ")-1)),""))))</f>
        <v/>
      </c>
    </row>
    <row r="157">
      <c r="A157" s="6" t="n"/>
      <c r="B157" s="7" t="n"/>
      <c r="C157" s="7" t="n"/>
      <c r="D157" s="7" t="n"/>
      <c r="E157" s="7" t="n"/>
      <c r="G157" s="8">
        <f>IF(TRIM(B157)="","",IFERROR(VALUE(B157),IFERROR((VALUE(LEFT(TRIM(B157),SEARCH(" o ",TRIM(B157))-1))+VALUE(LEFT(MID(TRIM(B157),SEARCH(" o ",TRIM(B157))+3,99),FIND(" ",MID(TRIM(B157),SEARCH(" o ",TRIM(B157))+3,99)&amp;" ")-1)))/2,IFERROR(VALUE(LEFT(TRIM(B157),FIND(" ",TRIM(B157)&amp;" ")-1)),""))))</f>
        <v/>
      </c>
      <c r="H157" s="8">
        <f>IF(TRIM(C157)="","",IFERROR(VALUE(C157),IFERROR((VALUE(LEFT(TRIM(C157),SEARCH(" o ",TRIM(C157))-1))+VALUE(LEFT(MID(TRIM(C157),SEARCH(" o ",TRIM(C157))+3,99),FIND(" ",MID(TRIM(C157),SEARCH(" o ",TRIM(C157))+3,99)&amp;" ")-1)))/2,IFERROR(VALUE(LEFT(TRIM(C157),FIND(" ",TRIM(C157)&amp;" ")-1)),""))))</f>
        <v/>
      </c>
      <c r="I157" s="8">
        <f>IF(TRIM(D157)="","",IFERROR(VALUE(D157),IFERROR((VALUE(LEFT(TRIM(D157),SEARCH(" o ",TRIM(D157))-1))+VALUE(LEFT(MID(TRIM(D157),SEARCH(" o ",TRIM(D157))+3,99),FIND(" ",MID(TRIM(D157),SEARCH(" o ",TRIM(D157))+3,99)&amp;" ")-1)))/2,IFERROR(VALUE(LEFT(TRIM(D157),FIND(" ",TRIM(D157)&amp;" ")-1)),""))))</f>
        <v/>
      </c>
    </row>
    <row r="158">
      <c r="A158" s="6" t="n"/>
      <c r="B158" s="7" t="n"/>
      <c r="C158" s="7" t="n"/>
      <c r="D158" s="7" t="n"/>
      <c r="E158" s="7" t="n"/>
      <c r="G158" s="8">
        <f>IF(TRIM(B158)="","",IFERROR(VALUE(B158),IFERROR((VALUE(LEFT(TRIM(B158),SEARCH(" o ",TRIM(B158))-1))+VALUE(LEFT(MID(TRIM(B158),SEARCH(" o ",TRIM(B158))+3,99),FIND(" ",MID(TRIM(B158),SEARCH(" o ",TRIM(B158))+3,99)&amp;" ")-1)))/2,IFERROR(VALUE(LEFT(TRIM(B158),FIND(" ",TRIM(B158)&amp;" ")-1)),""))))</f>
        <v/>
      </c>
      <c r="H158" s="8">
        <f>IF(TRIM(C158)="","",IFERROR(VALUE(C158),IFERROR((VALUE(LEFT(TRIM(C158),SEARCH(" o ",TRIM(C158))-1))+VALUE(LEFT(MID(TRIM(C158),SEARCH(" o ",TRIM(C158))+3,99),FIND(" ",MID(TRIM(C158),SEARCH(" o ",TRIM(C158))+3,99)&amp;" ")-1)))/2,IFERROR(VALUE(LEFT(TRIM(C158),FIND(" ",TRIM(C158)&amp;" ")-1)),""))))</f>
        <v/>
      </c>
      <c r="I158" s="8">
        <f>IF(TRIM(D158)="","",IFERROR(VALUE(D158),IFERROR((VALUE(LEFT(TRIM(D158),SEARCH(" o ",TRIM(D158))-1))+VALUE(LEFT(MID(TRIM(D158),SEARCH(" o ",TRIM(D158))+3,99),FIND(" ",MID(TRIM(D158),SEARCH(" o ",TRIM(D158))+3,99)&amp;" ")-1)))/2,IFERROR(VALUE(LEFT(TRIM(D158),FIND(" ",TRIM(D158)&amp;" ")-1)),""))))</f>
        <v/>
      </c>
    </row>
    <row r="159">
      <c r="A159" s="6" t="n"/>
      <c r="B159" s="7" t="n"/>
      <c r="C159" s="7" t="n"/>
      <c r="D159" s="7" t="n"/>
      <c r="E159" s="7" t="n"/>
      <c r="G159" s="8">
        <f>IF(TRIM(B159)="","",IFERROR(VALUE(B159),IFERROR((VALUE(LEFT(TRIM(B159),SEARCH(" o ",TRIM(B159))-1))+VALUE(LEFT(MID(TRIM(B159),SEARCH(" o ",TRIM(B159))+3,99),FIND(" ",MID(TRIM(B159),SEARCH(" o ",TRIM(B159))+3,99)&amp;" ")-1)))/2,IFERROR(VALUE(LEFT(TRIM(B159),FIND(" ",TRIM(B159)&amp;" ")-1)),""))))</f>
        <v/>
      </c>
      <c r="H159" s="8">
        <f>IF(TRIM(C159)="","",IFERROR(VALUE(C159),IFERROR((VALUE(LEFT(TRIM(C159),SEARCH(" o ",TRIM(C159))-1))+VALUE(LEFT(MID(TRIM(C159),SEARCH(" o ",TRIM(C159))+3,99),FIND(" ",MID(TRIM(C159),SEARCH(" o ",TRIM(C159))+3,99)&amp;" ")-1)))/2,IFERROR(VALUE(LEFT(TRIM(C159),FIND(" ",TRIM(C159)&amp;" ")-1)),""))))</f>
        <v/>
      </c>
      <c r="I159" s="8">
        <f>IF(TRIM(D159)="","",IFERROR(VALUE(D159),IFERROR((VALUE(LEFT(TRIM(D159),SEARCH(" o ",TRIM(D159))-1))+VALUE(LEFT(MID(TRIM(D159),SEARCH(" o ",TRIM(D159))+3,99),FIND(" ",MID(TRIM(D159),SEARCH(" o ",TRIM(D159))+3,99)&amp;" ")-1)))/2,IFERROR(VALUE(LEFT(TRIM(D159),FIND(" ",TRIM(D159)&amp;" ")-1)),""))))</f>
        <v/>
      </c>
    </row>
    <row r="160">
      <c r="A160" s="6" t="n"/>
      <c r="B160" s="7" t="n"/>
      <c r="C160" s="7" t="n"/>
      <c r="D160" s="7" t="n"/>
      <c r="E160" s="7" t="n"/>
      <c r="G160" s="8">
        <f>IF(TRIM(B160)="","",IFERROR(VALUE(B160),IFERROR((VALUE(LEFT(TRIM(B160),SEARCH(" o ",TRIM(B160))-1))+VALUE(LEFT(MID(TRIM(B160),SEARCH(" o ",TRIM(B160))+3,99),FIND(" ",MID(TRIM(B160),SEARCH(" o ",TRIM(B160))+3,99)&amp;" ")-1)))/2,IFERROR(VALUE(LEFT(TRIM(B160),FIND(" ",TRIM(B160)&amp;" ")-1)),""))))</f>
        <v/>
      </c>
      <c r="H160" s="8">
        <f>IF(TRIM(C160)="","",IFERROR(VALUE(C160),IFERROR((VALUE(LEFT(TRIM(C160),SEARCH(" o ",TRIM(C160))-1))+VALUE(LEFT(MID(TRIM(C160),SEARCH(" o ",TRIM(C160))+3,99),FIND(" ",MID(TRIM(C160),SEARCH(" o ",TRIM(C160))+3,99)&amp;" ")-1)))/2,IFERROR(VALUE(LEFT(TRIM(C160),FIND(" ",TRIM(C160)&amp;" ")-1)),""))))</f>
        <v/>
      </c>
      <c r="I160" s="8">
        <f>IF(TRIM(D160)="","",IFERROR(VALUE(D160),IFERROR((VALUE(LEFT(TRIM(D160),SEARCH(" o ",TRIM(D160))-1))+VALUE(LEFT(MID(TRIM(D160),SEARCH(" o ",TRIM(D160))+3,99),FIND(" ",MID(TRIM(D160),SEARCH(" o ",TRIM(D160))+3,99)&amp;" ")-1)))/2,IFERROR(VALUE(LEFT(TRIM(D160),FIND(" ",TRIM(D160)&amp;" ")-1)),""))))</f>
        <v/>
      </c>
    </row>
    <row r="161">
      <c r="A161" s="6" t="n"/>
      <c r="B161" s="7" t="n"/>
      <c r="C161" s="7" t="n"/>
      <c r="D161" s="7" t="n"/>
      <c r="E161" s="7" t="n"/>
      <c r="G161" s="8">
        <f>IF(TRIM(B161)="","",IFERROR(VALUE(B161),IFERROR((VALUE(LEFT(TRIM(B161),SEARCH(" o ",TRIM(B161))-1))+VALUE(LEFT(MID(TRIM(B161),SEARCH(" o ",TRIM(B161))+3,99),FIND(" ",MID(TRIM(B161),SEARCH(" o ",TRIM(B161))+3,99)&amp;" ")-1)))/2,IFERROR(VALUE(LEFT(TRIM(B161),FIND(" ",TRIM(B161)&amp;" ")-1)),""))))</f>
        <v/>
      </c>
      <c r="H161" s="8">
        <f>IF(TRIM(C161)="","",IFERROR(VALUE(C161),IFERROR((VALUE(LEFT(TRIM(C161),SEARCH(" o ",TRIM(C161))-1))+VALUE(LEFT(MID(TRIM(C161),SEARCH(" o ",TRIM(C161))+3,99),FIND(" ",MID(TRIM(C161),SEARCH(" o ",TRIM(C161))+3,99)&amp;" ")-1)))/2,IFERROR(VALUE(LEFT(TRIM(C161),FIND(" ",TRIM(C161)&amp;" ")-1)),""))))</f>
        <v/>
      </c>
      <c r="I161" s="8">
        <f>IF(TRIM(D161)="","",IFERROR(VALUE(D161),IFERROR((VALUE(LEFT(TRIM(D161),SEARCH(" o ",TRIM(D161))-1))+VALUE(LEFT(MID(TRIM(D161),SEARCH(" o ",TRIM(D161))+3,99),FIND(" ",MID(TRIM(D161),SEARCH(" o ",TRIM(D161))+3,99)&amp;" ")-1)))/2,IFERROR(VALUE(LEFT(TRIM(D161),FIND(" ",TRIM(D161)&amp;" ")-1)),""))))</f>
        <v/>
      </c>
    </row>
    <row r="162">
      <c r="A162" s="6" t="n"/>
      <c r="B162" s="7" t="n"/>
      <c r="C162" s="7" t="n"/>
      <c r="D162" s="7" t="n"/>
      <c r="E162" s="7" t="n"/>
      <c r="G162" s="8">
        <f>IF(TRIM(B162)="","",IFERROR(VALUE(B162),IFERROR((VALUE(LEFT(TRIM(B162),SEARCH(" o ",TRIM(B162))-1))+VALUE(LEFT(MID(TRIM(B162),SEARCH(" o ",TRIM(B162))+3,99),FIND(" ",MID(TRIM(B162),SEARCH(" o ",TRIM(B162))+3,99)&amp;" ")-1)))/2,IFERROR(VALUE(LEFT(TRIM(B162),FIND(" ",TRIM(B162)&amp;" ")-1)),""))))</f>
        <v/>
      </c>
      <c r="H162" s="8">
        <f>IF(TRIM(C162)="","",IFERROR(VALUE(C162),IFERROR((VALUE(LEFT(TRIM(C162),SEARCH(" o ",TRIM(C162))-1))+VALUE(LEFT(MID(TRIM(C162),SEARCH(" o ",TRIM(C162))+3,99),FIND(" ",MID(TRIM(C162),SEARCH(" o ",TRIM(C162))+3,99)&amp;" ")-1)))/2,IFERROR(VALUE(LEFT(TRIM(C162),FIND(" ",TRIM(C162)&amp;" ")-1)),""))))</f>
        <v/>
      </c>
      <c r="I162" s="8">
        <f>IF(TRIM(D162)="","",IFERROR(VALUE(D162),IFERROR((VALUE(LEFT(TRIM(D162),SEARCH(" o ",TRIM(D162))-1))+VALUE(LEFT(MID(TRIM(D162),SEARCH(" o ",TRIM(D162))+3,99),FIND(" ",MID(TRIM(D162),SEARCH(" o ",TRIM(D162))+3,99)&amp;" ")-1)))/2,IFERROR(VALUE(LEFT(TRIM(D162),FIND(" ",TRIM(D162)&amp;" ")-1)),""))))</f>
        <v/>
      </c>
    </row>
    <row r="163">
      <c r="A163" s="6" t="n"/>
      <c r="B163" s="7" t="n"/>
      <c r="C163" s="7" t="n"/>
      <c r="D163" s="7" t="n"/>
      <c r="E163" s="7" t="n"/>
      <c r="G163" s="8">
        <f>IF(TRIM(B163)="","",IFERROR(VALUE(B163),IFERROR((VALUE(LEFT(TRIM(B163),SEARCH(" o ",TRIM(B163))-1))+VALUE(LEFT(MID(TRIM(B163),SEARCH(" o ",TRIM(B163))+3,99),FIND(" ",MID(TRIM(B163),SEARCH(" o ",TRIM(B163))+3,99)&amp;" ")-1)))/2,IFERROR(VALUE(LEFT(TRIM(B163),FIND(" ",TRIM(B163)&amp;" ")-1)),""))))</f>
        <v/>
      </c>
      <c r="H163" s="8">
        <f>IF(TRIM(C163)="","",IFERROR(VALUE(C163),IFERROR((VALUE(LEFT(TRIM(C163),SEARCH(" o ",TRIM(C163))-1))+VALUE(LEFT(MID(TRIM(C163),SEARCH(" o ",TRIM(C163))+3,99),FIND(" ",MID(TRIM(C163),SEARCH(" o ",TRIM(C163))+3,99)&amp;" ")-1)))/2,IFERROR(VALUE(LEFT(TRIM(C163),FIND(" ",TRIM(C163)&amp;" ")-1)),""))))</f>
        <v/>
      </c>
      <c r="I163" s="8">
        <f>IF(TRIM(D163)="","",IFERROR(VALUE(D163),IFERROR((VALUE(LEFT(TRIM(D163),SEARCH(" o ",TRIM(D163))-1))+VALUE(LEFT(MID(TRIM(D163),SEARCH(" o ",TRIM(D163))+3,99),FIND(" ",MID(TRIM(D163),SEARCH(" o ",TRIM(D163))+3,99)&amp;" ")-1)))/2,IFERROR(VALUE(LEFT(TRIM(D163),FIND(" ",TRIM(D163)&amp;" ")-1)),""))))</f>
        <v/>
      </c>
    </row>
    <row r="164">
      <c r="A164" s="6" t="n"/>
      <c r="B164" s="7" t="n"/>
      <c r="C164" s="7" t="n"/>
      <c r="D164" s="7" t="n"/>
      <c r="E164" s="7" t="n"/>
      <c r="G164" s="8">
        <f>IF(TRIM(B164)="","",IFERROR(VALUE(B164),IFERROR((VALUE(LEFT(TRIM(B164),SEARCH(" o ",TRIM(B164))-1))+VALUE(LEFT(MID(TRIM(B164),SEARCH(" o ",TRIM(B164))+3,99),FIND(" ",MID(TRIM(B164),SEARCH(" o ",TRIM(B164))+3,99)&amp;" ")-1)))/2,IFERROR(VALUE(LEFT(TRIM(B164),FIND(" ",TRIM(B164)&amp;" ")-1)),""))))</f>
        <v/>
      </c>
      <c r="H164" s="8">
        <f>IF(TRIM(C164)="","",IFERROR(VALUE(C164),IFERROR((VALUE(LEFT(TRIM(C164),SEARCH(" o ",TRIM(C164))-1))+VALUE(LEFT(MID(TRIM(C164),SEARCH(" o ",TRIM(C164))+3,99),FIND(" ",MID(TRIM(C164),SEARCH(" o ",TRIM(C164))+3,99)&amp;" ")-1)))/2,IFERROR(VALUE(LEFT(TRIM(C164),FIND(" ",TRIM(C164)&amp;" ")-1)),""))))</f>
        <v/>
      </c>
      <c r="I164" s="8">
        <f>IF(TRIM(D164)="","",IFERROR(VALUE(D164),IFERROR((VALUE(LEFT(TRIM(D164),SEARCH(" o ",TRIM(D164))-1))+VALUE(LEFT(MID(TRIM(D164),SEARCH(" o ",TRIM(D164))+3,99),FIND(" ",MID(TRIM(D164),SEARCH(" o ",TRIM(D164))+3,99)&amp;" ")-1)))/2,IFERROR(VALUE(LEFT(TRIM(D164),FIND(" ",TRIM(D164)&amp;" ")-1)),""))))</f>
        <v/>
      </c>
    </row>
    <row r="165">
      <c r="A165" s="6" t="n"/>
      <c r="B165" s="7" t="n"/>
      <c r="C165" s="7" t="n"/>
      <c r="D165" s="7" t="n"/>
      <c r="E165" s="7" t="n"/>
      <c r="G165" s="8">
        <f>IF(TRIM(B165)="","",IFERROR(VALUE(B165),IFERROR((VALUE(LEFT(TRIM(B165),SEARCH(" o ",TRIM(B165))-1))+VALUE(LEFT(MID(TRIM(B165),SEARCH(" o ",TRIM(B165))+3,99),FIND(" ",MID(TRIM(B165),SEARCH(" o ",TRIM(B165))+3,99)&amp;" ")-1)))/2,IFERROR(VALUE(LEFT(TRIM(B165),FIND(" ",TRIM(B165)&amp;" ")-1)),""))))</f>
        <v/>
      </c>
      <c r="H165" s="8">
        <f>IF(TRIM(C165)="","",IFERROR(VALUE(C165),IFERROR((VALUE(LEFT(TRIM(C165),SEARCH(" o ",TRIM(C165))-1))+VALUE(LEFT(MID(TRIM(C165),SEARCH(" o ",TRIM(C165))+3,99),FIND(" ",MID(TRIM(C165),SEARCH(" o ",TRIM(C165))+3,99)&amp;" ")-1)))/2,IFERROR(VALUE(LEFT(TRIM(C165),FIND(" ",TRIM(C165)&amp;" ")-1)),""))))</f>
        <v/>
      </c>
      <c r="I165" s="8">
        <f>IF(TRIM(D165)="","",IFERROR(VALUE(D165),IFERROR((VALUE(LEFT(TRIM(D165),SEARCH(" o ",TRIM(D165))-1))+VALUE(LEFT(MID(TRIM(D165),SEARCH(" o ",TRIM(D165))+3,99),FIND(" ",MID(TRIM(D165),SEARCH(" o ",TRIM(D165))+3,99)&amp;" ")-1)))/2,IFERROR(VALUE(LEFT(TRIM(D165),FIND(" ",TRIM(D165)&amp;" ")-1)),""))))</f>
        <v/>
      </c>
    </row>
    <row r="166">
      <c r="A166" s="6" t="n"/>
      <c r="B166" s="7" t="n"/>
      <c r="C166" s="7" t="n"/>
      <c r="D166" s="7" t="n"/>
      <c r="E166" s="7" t="n"/>
      <c r="G166" s="8">
        <f>IF(TRIM(B166)="","",IFERROR(VALUE(B166),IFERROR((VALUE(LEFT(TRIM(B166),SEARCH(" o ",TRIM(B166))-1))+VALUE(LEFT(MID(TRIM(B166),SEARCH(" o ",TRIM(B166))+3,99),FIND(" ",MID(TRIM(B166),SEARCH(" o ",TRIM(B166))+3,99)&amp;" ")-1)))/2,IFERROR(VALUE(LEFT(TRIM(B166),FIND(" ",TRIM(B166)&amp;" ")-1)),""))))</f>
        <v/>
      </c>
      <c r="H166" s="8">
        <f>IF(TRIM(C166)="","",IFERROR(VALUE(C166),IFERROR((VALUE(LEFT(TRIM(C166),SEARCH(" o ",TRIM(C166))-1))+VALUE(LEFT(MID(TRIM(C166),SEARCH(" o ",TRIM(C166))+3,99),FIND(" ",MID(TRIM(C166),SEARCH(" o ",TRIM(C166))+3,99)&amp;" ")-1)))/2,IFERROR(VALUE(LEFT(TRIM(C166),FIND(" ",TRIM(C166)&amp;" ")-1)),""))))</f>
        <v/>
      </c>
      <c r="I166" s="8">
        <f>IF(TRIM(D166)="","",IFERROR(VALUE(D166),IFERROR((VALUE(LEFT(TRIM(D166),SEARCH(" o ",TRIM(D166))-1))+VALUE(LEFT(MID(TRIM(D166),SEARCH(" o ",TRIM(D166))+3,99),FIND(" ",MID(TRIM(D166),SEARCH(" o ",TRIM(D166))+3,99)&amp;" ")-1)))/2,IFERROR(VALUE(LEFT(TRIM(D166),FIND(" ",TRIM(D166)&amp;" ")-1)),""))))</f>
        <v/>
      </c>
    </row>
    <row r="167">
      <c r="A167" s="6" t="n"/>
      <c r="B167" s="7" t="n"/>
      <c r="C167" s="7" t="n"/>
      <c r="D167" s="7" t="n"/>
      <c r="E167" s="7" t="n"/>
      <c r="G167" s="8">
        <f>IF(TRIM(B167)="","",IFERROR(VALUE(B167),IFERROR((VALUE(LEFT(TRIM(B167),SEARCH(" o ",TRIM(B167))-1))+VALUE(LEFT(MID(TRIM(B167),SEARCH(" o ",TRIM(B167))+3,99),FIND(" ",MID(TRIM(B167),SEARCH(" o ",TRIM(B167))+3,99)&amp;" ")-1)))/2,IFERROR(VALUE(LEFT(TRIM(B167),FIND(" ",TRIM(B167)&amp;" ")-1)),""))))</f>
        <v/>
      </c>
      <c r="H167" s="8">
        <f>IF(TRIM(C167)="","",IFERROR(VALUE(C167),IFERROR((VALUE(LEFT(TRIM(C167),SEARCH(" o ",TRIM(C167))-1))+VALUE(LEFT(MID(TRIM(C167),SEARCH(" o ",TRIM(C167))+3,99),FIND(" ",MID(TRIM(C167),SEARCH(" o ",TRIM(C167))+3,99)&amp;" ")-1)))/2,IFERROR(VALUE(LEFT(TRIM(C167),FIND(" ",TRIM(C167)&amp;" ")-1)),""))))</f>
        <v/>
      </c>
      <c r="I167" s="8">
        <f>IF(TRIM(D167)="","",IFERROR(VALUE(D167),IFERROR((VALUE(LEFT(TRIM(D167),SEARCH(" o ",TRIM(D167))-1))+VALUE(LEFT(MID(TRIM(D167),SEARCH(" o ",TRIM(D167))+3,99),FIND(" ",MID(TRIM(D167),SEARCH(" o ",TRIM(D167))+3,99)&amp;" ")-1)))/2,IFERROR(VALUE(LEFT(TRIM(D167),FIND(" ",TRIM(D167)&amp;" ")-1)),""))))</f>
        <v/>
      </c>
    </row>
    <row r="168">
      <c r="A168" s="6" t="n"/>
      <c r="B168" s="7" t="n"/>
      <c r="C168" s="7" t="n"/>
      <c r="D168" s="7" t="n"/>
      <c r="E168" s="7" t="n"/>
      <c r="G168" s="8">
        <f>IF(TRIM(B168)="","",IFERROR(VALUE(B168),IFERROR((VALUE(LEFT(TRIM(B168),SEARCH(" o ",TRIM(B168))-1))+VALUE(LEFT(MID(TRIM(B168),SEARCH(" o ",TRIM(B168))+3,99),FIND(" ",MID(TRIM(B168),SEARCH(" o ",TRIM(B168))+3,99)&amp;" ")-1)))/2,IFERROR(VALUE(LEFT(TRIM(B168),FIND(" ",TRIM(B168)&amp;" ")-1)),""))))</f>
        <v/>
      </c>
      <c r="H168" s="8">
        <f>IF(TRIM(C168)="","",IFERROR(VALUE(C168),IFERROR((VALUE(LEFT(TRIM(C168),SEARCH(" o ",TRIM(C168))-1))+VALUE(LEFT(MID(TRIM(C168),SEARCH(" o ",TRIM(C168))+3,99),FIND(" ",MID(TRIM(C168),SEARCH(" o ",TRIM(C168))+3,99)&amp;" ")-1)))/2,IFERROR(VALUE(LEFT(TRIM(C168),FIND(" ",TRIM(C168)&amp;" ")-1)),""))))</f>
        <v/>
      </c>
      <c r="I168" s="8">
        <f>IF(TRIM(D168)="","",IFERROR(VALUE(D168),IFERROR((VALUE(LEFT(TRIM(D168),SEARCH(" o ",TRIM(D168))-1))+VALUE(LEFT(MID(TRIM(D168),SEARCH(" o ",TRIM(D168))+3,99),FIND(" ",MID(TRIM(D168),SEARCH(" o ",TRIM(D168))+3,99)&amp;" ")-1)))/2,IFERROR(VALUE(LEFT(TRIM(D168),FIND(" ",TRIM(D168)&amp;" ")-1)),""))))</f>
        <v/>
      </c>
    </row>
    <row r="169">
      <c r="A169" s="6" t="n"/>
      <c r="B169" s="7" t="n"/>
      <c r="C169" s="7" t="n"/>
      <c r="D169" s="7" t="n"/>
      <c r="E169" s="7" t="n"/>
      <c r="G169" s="8">
        <f>IF(TRIM(B169)="","",IFERROR(VALUE(B169),IFERROR((VALUE(LEFT(TRIM(B169),SEARCH(" o ",TRIM(B169))-1))+VALUE(LEFT(MID(TRIM(B169),SEARCH(" o ",TRIM(B169))+3,99),FIND(" ",MID(TRIM(B169),SEARCH(" o ",TRIM(B169))+3,99)&amp;" ")-1)))/2,IFERROR(VALUE(LEFT(TRIM(B169),FIND(" ",TRIM(B169)&amp;" ")-1)),""))))</f>
        <v/>
      </c>
      <c r="H169" s="8">
        <f>IF(TRIM(C169)="","",IFERROR(VALUE(C169),IFERROR((VALUE(LEFT(TRIM(C169),SEARCH(" o ",TRIM(C169))-1))+VALUE(LEFT(MID(TRIM(C169),SEARCH(" o ",TRIM(C169))+3,99),FIND(" ",MID(TRIM(C169),SEARCH(" o ",TRIM(C169))+3,99)&amp;" ")-1)))/2,IFERROR(VALUE(LEFT(TRIM(C169),FIND(" ",TRIM(C169)&amp;" ")-1)),""))))</f>
        <v/>
      </c>
      <c r="I169" s="8">
        <f>IF(TRIM(D169)="","",IFERROR(VALUE(D169),IFERROR((VALUE(LEFT(TRIM(D169),SEARCH(" o ",TRIM(D169))-1))+VALUE(LEFT(MID(TRIM(D169),SEARCH(" o ",TRIM(D169))+3,99),FIND(" ",MID(TRIM(D169),SEARCH(" o ",TRIM(D169))+3,99)&amp;" ")-1)))/2,IFERROR(VALUE(LEFT(TRIM(D169),FIND(" ",TRIM(D169)&amp;" ")-1)),""))))</f>
        <v/>
      </c>
    </row>
    <row r="170">
      <c r="A170" s="6" t="n"/>
      <c r="B170" s="7" t="n"/>
      <c r="C170" s="7" t="n"/>
      <c r="D170" s="7" t="n"/>
      <c r="E170" s="7" t="n"/>
      <c r="G170" s="8">
        <f>IF(TRIM(B170)="","",IFERROR(VALUE(B170),IFERROR((VALUE(LEFT(TRIM(B170),SEARCH(" o ",TRIM(B170))-1))+VALUE(LEFT(MID(TRIM(B170),SEARCH(" o ",TRIM(B170))+3,99),FIND(" ",MID(TRIM(B170),SEARCH(" o ",TRIM(B170))+3,99)&amp;" ")-1)))/2,IFERROR(VALUE(LEFT(TRIM(B170),FIND(" ",TRIM(B170)&amp;" ")-1)),""))))</f>
        <v/>
      </c>
      <c r="H170" s="8">
        <f>IF(TRIM(C170)="","",IFERROR(VALUE(C170),IFERROR((VALUE(LEFT(TRIM(C170),SEARCH(" o ",TRIM(C170))-1))+VALUE(LEFT(MID(TRIM(C170),SEARCH(" o ",TRIM(C170))+3,99),FIND(" ",MID(TRIM(C170),SEARCH(" o ",TRIM(C170))+3,99)&amp;" ")-1)))/2,IFERROR(VALUE(LEFT(TRIM(C170),FIND(" ",TRIM(C170)&amp;" ")-1)),""))))</f>
        <v/>
      </c>
      <c r="I170" s="8">
        <f>IF(TRIM(D170)="","",IFERROR(VALUE(D170),IFERROR((VALUE(LEFT(TRIM(D170),SEARCH(" o ",TRIM(D170))-1))+VALUE(LEFT(MID(TRIM(D170),SEARCH(" o ",TRIM(D170))+3,99),FIND(" ",MID(TRIM(D170),SEARCH(" o ",TRIM(D170))+3,99)&amp;" ")-1)))/2,IFERROR(VALUE(LEFT(TRIM(D170),FIND(" ",TRIM(D170)&amp;" ")-1)),""))))</f>
        <v/>
      </c>
    </row>
    <row r="171">
      <c r="A171" s="6" t="n"/>
      <c r="B171" s="7" t="n"/>
      <c r="C171" s="7" t="n"/>
      <c r="D171" s="7" t="n"/>
      <c r="E171" s="7" t="n"/>
      <c r="G171" s="8">
        <f>IF(TRIM(B171)="","",IFERROR(VALUE(B171),IFERROR((VALUE(LEFT(TRIM(B171),SEARCH(" o ",TRIM(B171))-1))+VALUE(LEFT(MID(TRIM(B171),SEARCH(" o ",TRIM(B171))+3,99),FIND(" ",MID(TRIM(B171),SEARCH(" o ",TRIM(B171))+3,99)&amp;" ")-1)))/2,IFERROR(VALUE(LEFT(TRIM(B171),FIND(" ",TRIM(B171)&amp;" ")-1)),""))))</f>
        <v/>
      </c>
      <c r="H171" s="8">
        <f>IF(TRIM(C171)="","",IFERROR(VALUE(C171),IFERROR((VALUE(LEFT(TRIM(C171),SEARCH(" o ",TRIM(C171))-1))+VALUE(LEFT(MID(TRIM(C171),SEARCH(" o ",TRIM(C171))+3,99),FIND(" ",MID(TRIM(C171),SEARCH(" o ",TRIM(C171))+3,99)&amp;" ")-1)))/2,IFERROR(VALUE(LEFT(TRIM(C171),FIND(" ",TRIM(C171)&amp;" ")-1)),""))))</f>
        <v/>
      </c>
      <c r="I171" s="8">
        <f>IF(TRIM(D171)="","",IFERROR(VALUE(D171),IFERROR((VALUE(LEFT(TRIM(D171),SEARCH(" o ",TRIM(D171))-1))+VALUE(LEFT(MID(TRIM(D171),SEARCH(" o ",TRIM(D171))+3,99),FIND(" ",MID(TRIM(D171),SEARCH(" o ",TRIM(D171))+3,99)&amp;" ")-1)))/2,IFERROR(VALUE(LEFT(TRIM(D171),FIND(" ",TRIM(D171)&amp;" ")-1)),""))))</f>
        <v/>
      </c>
    </row>
    <row r="172">
      <c r="A172" s="6" t="n"/>
      <c r="B172" s="7" t="n"/>
      <c r="C172" s="7" t="n"/>
      <c r="D172" s="7" t="n"/>
      <c r="E172" s="7" t="n"/>
      <c r="G172" s="8">
        <f>IF(TRIM(B172)="","",IFERROR(VALUE(B172),IFERROR((VALUE(LEFT(TRIM(B172),SEARCH(" o ",TRIM(B172))-1))+VALUE(LEFT(MID(TRIM(B172),SEARCH(" o ",TRIM(B172))+3,99),FIND(" ",MID(TRIM(B172),SEARCH(" o ",TRIM(B172))+3,99)&amp;" ")-1)))/2,IFERROR(VALUE(LEFT(TRIM(B172),FIND(" ",TRIM(B172)&amp;" ")-1)),""))))</f>
        <v/>
      </c>
      <c r="H172" s="8">
        <f>IF(TRIM(C172)="","",IFERROR(VALUE(C172),IFERROR((VALUE(LEFT(TRIM(C172),SEARCH(" o ",TRIM(C172))-1))+VALUE(LEFT(MID(TRIM(C172),SEARCH(" o ",TRIM(C172))+3,99),FIND(" ",MID(TRIM(C172),SEARCH(" o ",TRIM(C172))+3,99)&amp;" ")-1)))/2,IFERROR(VALUE(LEFT(TRIM(C172),FIND(" ",TRIM(C172)&amp;" ")-1)),""))))</f>
        <v/>
      </c>
      <c r="I172" s="8">
        <f>IF(TRIM(D172)="","",IFERROR(VALUE(D172),IFERROR((VALUE(LEFT(TRIM(D172),SEARCH(" o ",TRIM(D172))-1))+VALUE(LEFT(MID(TRIM(D172),SEARCH(" o ",TRIM(D172))+3,99),FIND(" ",MID(TRIM(D172),SEARCH(" o ",TRIM(D172))+3,99)&amp;" ")-1)))/2,IFERROR(VALUE(LEFT(TRIM(D172),FIND(" ",TRIM(D172)&amp;" ")-1)),""))))</f>
        <v/>
      </c>
    </row>
    <row r="173">
      <c r="A173" s="6" t="n"/>
      <c r="B173" s="7" t="n"/>
      <c r="C173" s="7" t="n"/>
      <c r="D173" s="7" t="n"/>
      <c r="E173" s="7" t="n"/>
      <c r="G173" s="8">
        <f>IF(TRIM(B173)="","",IFERROR(VALUE(B173),IFERROR((VALUE(LEFT(TRIM(B173),SEARCH(" o ",TRIM(B173))-1))+VALUE(LEFT(MID(TRIM(B173),SEARCH(" o ",TRIM(B173))+3,99),FIND(" ",MID(TRIM(B173),SEARCH(" o ",TRIM(B173))+3,99)&amp;" ")-1)))/2,IFERROR(VALUE(LEFT(TRIM(B173),FIND(" ",TRIM(B173)&amp;" ")-1)),""))))</f>
        <v/>
      </c>
      <c r="H173" s="8">
        <f>IF(TRIM(C173)="","",IFERROR(VALUE(C173),IFERROR((VALUE(LEFT(TRIM(C173),SEARCH(" o ",TRIM(C173))-1))+VALUE(LEFT(MID(TRIM(C173),SEARCH(" o ",TRIM(C173))+3,99),FIND(" ",MID(TRIM(C173),SEARCH(" o ",TRIM(C173))+3,99)&amp;" ")-1)))/2,IFERROR(VALUE(LEFT(TRIM(C173),FIND(" ",TRIM(C173)&amp;" ")-1)),""))))</f>
        <v/>
      </c>
      <c r="I173" s="8">
        <f>IF(TRIM(D173)="","",IFERROR(VALUE(D173),IFERROR((VALUE(LEFT(TRIM(D173),SEARCH(" o ",TRIM(D173))-1))+VALUE(LEFT(MID(TRIM(D173),SEARCH(" o ",TRIM(D173))+3,99),FIND(" ",MID(TRIM(D173),SEARCH(" o ",TRIM(D173))+3,99)&amp;" ")-1)))/2,IFERROR(VALUE(LEFT(TRIM(D173),FIND(" ",TRIM(D173)&amp;" ")-1)),""))))</f>
        <v/>
      </c>
    </row>
    <row r="174">
      <c r="A174" s="6" t="n"/>
      <c r="B174" s="7" t="n"/>
      <c r="C174" s="7" t="n"/>
      <c r="D174" s="7" t="n"/>
      <c r="E174" s="7" t="n"/>
      <c r="G174" s="8">
        <f>IF(TRIM(B174)="","",IFERROR(VALUE(B174),IFERROR((VALUE(LEFT(TRIM(B174),SEARCH(" o ",TRIM(B174))-1))+VALUE(LEFT(MID(TRIM(B174),SEARCH(" o ",TRIM(B174))+3,99),FIND(" ",MID(TRIM(B174),SEARCH(" o ",TRIM(B174))+3,99)&amp;" ")-1)))/2,IFERROR(VALUE(LEFT(TRIM(B174),FIND(" ",TRIM(B174)&amp;" ")-1)),""))))</f>
        <v/>
      </c>
      <c r="H174" s="8">
        <f>IF(TRIM(C174)="","",IFERROR(VALUE(C174),IFERROR((VALUE(LEFT(TRIM(C174),SEARCH(" o ",TRIM(C174))-1))+VALUE(LEFT(MID(TRIM(C174),SEARCH(" o ",TRIM(C174))+3,99),FIND(" ",MID(TRIM(C174),SEARCH(" o ",TRIM(C174))+3,99)&amp;" ")-1)))/2,IFERROR(VALUE(LEFT(TRIM(C174),FIND(" ",TRIM(C174)&amp;" ")-1)),""))))</f>
        <v/>
      </c>
      <c r="I174" s="8">
        <f>IF(TRIM(D174)="","",IFERROR(VALUE(D174),IFERROR((VALUE(LEFT(TRIM(D174),SEARCH(" o ",TRIM(D174))-1))+VALUE(LEFT(MID(TRIM(D174),SEARCH(" o ",TRIM(D174))+3,99),FIND(" ",MID(TRIM(D174),SEARCH(" o ",TRIM(D174))+3,99)&amp;" ")-1)))/2,IFERROR(VALUE(LEFT(TRIM(D174),FIND(" ",TRIM(D174)&amp;" ")-1)),""))))</f>
        <v/>
      </c>
    </row>
    <row r="175">
      <c r="A175" s="6" t="n"/>
      <c r="B175" s="7" t="n"/>
      <c r="C175" s="7" t="n"/>
      <c r="D175" s="7" t="n"/>
      <c r="E175" s="7" t="n"/>
      <c r="G175" s="8">
        <f>IF(TRIM(B175)="","",IFERROR(VALUE(B175),IFERROR((VALUE(LEFT(TRIM(B175),SEARCH(" o ",TRIM(B175))-1))+VALUE(LEFT(MID(TRIM(B175),SEARCH(" o ",TRIM(B175))+3,99),FIND(" ",MID(TRIM(B175),SEARCH(" o ",TRIM(B175))+3,99)&amp;" ")-1)))/2,IFERROR(VALUE(LEFT(TRIM(B175),FIND(" ",TRIM(B175)&amp;" ")-1)),""))))</f>
        <v/>
      </c>
      <c r="H175" s="8">
        <f>IF(TRIM(C175)="","",IFERROR(VALUE(C175),IFERROR((VALUE(LEFT(TRIM(C175),SEARCH(" o ",TRIM(C175))-1))+VALUE(LEFT(MID(TRIM(C175),SEARCH(" o ",TRIM(C175))+3,99),FIND(" ",MID(TRIM(C175),SEARCH(" o ",TRIM(C175))+3,99)&amp;" ")-1)))/2,IFERROR(VALUE(LEFT(TRIM(C175),FIND(" ",TRIM(C175)&amp;" ")-1)),""))))</f>
        <v/>
      </c>
      <c r="I175" s="8">
        <f>IF(TRIM(D175)="","",IFERROR(VALUE(D175),IFERROR((VALUE(LEFT(TRIM(D175),SEARCH(" o ",TRIM(D175))-1))+VALUE(LEFT(MID(TRIM(D175),SEARCH(" o ",TRIM(D175))+3,99),FIND(" ",MID(TRIM(D175),SEARCH(" o ",TRIM(D175))+3,99)&amp;" ")-1)))/2,IFERROR(VALUE(LEFT(TRIM(D175),FIND(" ",TRIM(D175)&amp;" ")-1)),""))))</f>
        <v/>
      </c>
    </row>
    <row r="176">
      <c r="A176" s="6" t="n"/>
      <c r="B176" s="7" t="n"/>
      <c r="C176" s="7" t="n"/>
      <c r="D176" s="7" t="n"/>
      <c r="E176" s="7" t="n"/>
      <c r="G176" s="8">
        <f>IF(TRIM(B176)="","",IFERROR(VALUE(B176),IFERROR((VALUE(LEFT(TRIM(B176),SEARCH(" o ",TRIM(B176))-1))+VALUE(LEFT(MID(TRIM(B176),SEARCH(" o ",TRIM(B176))+3,99),FIND(" ",MID(TRIM(B176),SEARCH(" o ",TRIM(B176))+3,99)&amp;" ")-1)))/2,IFERROR(VALUE(LEFT(TRIM(B176),FIND(" ",TRIM(B176)&amp;" ")-1)),""))))</f>
        <v/>
      </c>
      <c r="H176" s="8">
        <f>IF(TRIM(C176)="","",IFERROR(VALUE(C176),IFERROR((VALUE(LEFT(TRIM(C176),SEARCH(" o ",TRIM(C176))-1))+VALUE(LEFT(MID(TRIM(C176),SEARCH(" o ",TRIM(C176))+3,99),FIND(" ",MID(TRIM(C176),SEARCH(" o ",TRIM(C176))+3,99)&amp;" ")-1)))/2,IFERROR(VALUE(LEFT(TRIM(C176),FIND(" ",TRIM(C176)&amp;" ")-1)),""))))</f>
        <v/>
      </c>
      <c r="I176" s="8">
        <f>IF(TRIM(D176)="","",IFERROR(VALUE(D176),IFERROR((VALUE(LEFT(TRIM(D176),SEARCH(" o ",TRIM(D176))-1))+VALUE(LEFT(MID(TRIM(D176),SEARCH(" o ",TRIM(D176))+3,99),FIND(" ",MID(TRIM(D176),SEARCH(" o ",TRIM(D176))+3,99)&amp;" ")-1)))/2,IFERROR(VALUE(LEFT(TRIM(D176),FIND(" ",TRIM(D176)&amp;" ")-1)),""))))</f>
        <v/>
      </c>
    </row>
    <row r="177">
      <c r="A177" s="6" t="n"/>
      <c r="B177" s="7" t="n"/>
      <c r="C177" s="7" t="n"/>
      <c r="D177" s="7" t="n"/>
      <c r="E177" s="7" t="n"/>
      <c r="G177" s="8">
        <f>IF(TRIM(B177)="","",IFERROR(VALUE(B177),IFERROR((VALUE(LEFT(TRIM(B177),SEARCH(" o ",TRIM(B177))-1))+VALUE(LEFT(MID(TRIM(B177),SEARCH(" o ",TRIM(B177))+3,99),FIND(" ",MID(TRIM(B177),SEARCH(" o ",TRIM(B177))+3,99)&amp;" ")-1)))/2,IFERROR(VALUE(LEFT(TRIM(B177),FIND(" ",TRIM(B177)&amp;" ")-1)),""))))</f>
        <v/>
      </c>
      <c r="H177" s="8">
        <f>IF(TRIM(C177)="","",IFERROR(VALUE(C177),IFERROR((VALUE(LEFT(TRIM(C177),SEARCH(" o ",TRIM(C177))-1))+VALUE(LEFT(MID(TRIM(C177),SEARCH(" o ",TRIM(C177))+3,99),FIND(" ",MID(TRIM(C177),SEARCH(" o ",TRIM(C177))+3,99)&amp;" ")-1)))/2,IFERROR(VALUE(LEFT(TRIM(C177),FIND(" ",TRIM(C177)&amp;" ")-1)),""))))</f>
        <v/>
      </c>
      <c r="I177" s="8">
        <f>IF(TRIM(D177)="","",IFERROR(VALUE(D177),IFERROR((VALUE(LEFT(TRIM(D177),SEARCH(" o ",TRIM(D177))-1))+VALUE(LEFT(MID(TRIM(D177),SEARCH(" o ",TRIM(D177))+3,99),FIND(" ",MID(TRIM(D177),SEARCH(" o ",TRIM(D177))+3,99)&amp;" ")-1)))/2,IFERROR(VALUE(LEFT(TRIM(D177),FIND(" ",TRIM(D177)&amp;" ")-1)),""))))</f>
        <v/>
      </c>
    </row>
    <row r="178">
      <c r="A178" s="6" t="n"/>
      <c r="B178" s="7" t="n"/>
      <c r="C178" s="7" t="n"/>
      <c r="D178" s="7" t="n"/>
      <c r="E178" s="7" t="n"/>
      <c r="G178" s="8">
        <f>IF(TRIM(B178)="","",IFERROR(VALUE(B178),IFERROR((VALUE(LEFT(TRIM(B178),SEARCH(" o ",TRIM(B178))-1))+VALUE(LEFT(MID(TRIM(B178),SEARCH(" o ",TRIM(B178))+3,99),FIND(" ",MID(TRIM(B178),SEARCH(" o ",TRIM(B178))+3,99)&amp;" ")-1)))/2,IFERROR(VALUE(LEFT(TRIM(B178),FIND(" ",TRIM(B178)&amp;" ")-1)),""))))</f>
        <v/>
      </c>
      <c r="H178" s="8">
        <f>IF(TRIM(C178)="","",IFERROR(VALUE(C178),IFERROR((VALUE(LEFT(TRIM(C178),SEARCH(" o ",TRIM(C178))-1))+VALUE(LEFT(MID(TRIM(C178),SEARCH(" o ",TRIM(C178))+3,99),FIND(" ",MID(TRIM(C178),SEARCH(" o ",TRIM(C178))+3,99)&amp;" ")-1)))/2,IFERROR(VALUE(LEFT(TRIM(C178),FIND(" ",TRIM(C178)&amp;" ")-1)),""))))</f>
        <v/>
      </c>
      <c r="I178" s="8">
        <f>IF(TRIM(D178)="","",IFERROR(VALUE(D178),IFERROR((VALUE(LEFT(TRIM(D178),SEARCH(" o ",TRIM(D178))-1))+VALUE(LEFT(MID(TRIM(D178),SEARCH(" o ",TRIM(D178))+3,99),FIND(" ",MID(TRIM(D178),SEARCH(" o ",TRIM(D178))+3,99)&amp;" ")-1)))/2,IFERROR(VALUE(LEFT(TRIM(D178),FIND(" ",TRIM(D178)&amp;" ")-1)),""))))</f>
        <v/>
      </c>
    </row>
    <row r="179">
      <c r="A179" s="6" t="n"/>
      <c r="B179" s="7" t="n"/>
      <c r="C179" s="7" t="n"/>
      <c r="D179" s="7" t="n"/>
      <c r="E179" s="7" t="n"/>
      <c r="G179" s="8">
        <f>IF(TRIM(B179)="","",IFERROR(VALUE(B179),IFERROR((VALUE(LEFT(TRIM(B179),SEARCH(" o ",TRIM(B179))-1))+VALUE(LEFT(MID(TRIM(B179),SEARCH(" o ",TRIM(B179))+3,99),FIND(" ",MID(TRIM(B179),SEARCH(" o ",TRIM(B179))+3,99)&amp;" ")-1)))/2,IFERROR(VALUE(LEFT(TRIM(B179),FIND(" ",TRIM(B179)&amp;" ")-1)),""))))</f>
        <v/>
      </c>
      <c r="H179" s="8">
        <f>IF(TRIM(C179)="","",IFERROR(VALUE(C179),IFERROR((VALUE(LEFT(TRIM(C179),SEARCH(" o ",TRIM(C179))-1))+VALUE(LEFT(MID(TRIM(C179),SEARCH(" o ",TRIM(C179))+3,99),FIND(" ",MID(TRIM(C179),SEARCH(" o ",TRIM(C179))+3,99)&amp;" ")-1)))/2,IFERROR(VALUE(LEFT(TRIM(C179),FIND(" ",TRIM(C179)&amp;" ")-1)),""))))</f>
        <v/>
      </c>
      <c r="I179" s="8">
        <f>IF(TRIM(D179)="","",IFERROR(VALUE(D179),IFERROR((VALUE(LEFT(TRIM(D179),SEARCH(" o ",TRIM(D179))-1))+VALUE(LEFT(MID(TRIM(D179),SEARCH(" o ",TRIM(D179))+3,99),FIND(" ",MID(TRIM(D179),SEARCH(" o ",TRIM(D179))+3,99)&amp;" ")-1)))/2,IFERROR(VALUE(LEFT(TRIM(D179),FIND(" ",TRIM(D179)&amp;" ")-1)),""))))</f>
        <v/>
      </c>
    </row>
    <row r="180">
      <c r="A180" s="6" t="n"/>
      <c r="B180" s="7" t="n"/>
      <c r="C180" s="7" t="n"/>
      <c r="D180" s="7" t="n"/>
      <c r="E180" s="7" t="n"/>
      <c r="G180" s="8">
        <f>IF(TRIM(B180)="","",IFERROR(VALUE(B180),IFERROR((VALUE(LEFT(TRIM(B180),SEARCH(" o ",TRIM(B180))-1))+VALUE(LEFT(MID(TRIM(B180),SEARCH(" o ",TRIM(B180))+3,99),FIND(" ",MID(TRIM(B180),SEARCH(" o ",TRIM(B180))+3,99)&amp;" ")-1)))/2,IFERROR(VALUE(LEFT(TRIM(B180),FIND(" ",TRIM(B180)&amp;" ")-1)),""))))</f>
        <v/>
      </c>
      <c r="H180" s="8">
        <f>IF(TRIM(C180)="","",IFERROR(VALUE(C180),IFERROR((VALUE(LEFT(TRIM(C180),SEARCH(" o ",TRIM(C180))-1))+VALUE(LEFT(MID(TRIM(C180),SEARCH(" o ",TRIM(C180))+3,99),FIND(" ",MID(TRIM(C180),SEARCH(" o ",TRIM(C180))+3,99)&amp;" ")-1)))/2,IFERROR(VALUE(LEFT(TRIM(C180),FIND(" ",TRIM(C180)&amp;" ")-1)),""))))</f>
        <v/>
      </c>
      <c r="I180" s="8">
        <f>IF(TRIM(D180)="","",IFERROR(VALUE(D180),IFERROR((VALUE(LEFT(TRIM(D180),SEARCH(" o ",TRIM(D180))-1))+VALUE(LEFT(MID(TRIM(D180),SEARCH(" o ",TRIM(D180))+3,99),FIND(" ",MID(TRIM(D180),SEARCH(" o ",TRIM(D180))+3,99)&amp;" ")-1)))/2,IFERROR(VALUE(LEFT(TRIM(D180),FIND(" ",TRIM(D180)&amp;" ")-1)),""))))</f>
        <v/>
      </c>
    </row>
    <row r="181">
      <c r="A181" s="6" t="n"/>
      <c r="B181" s="7" t="n"/>
      <c r="C181" s="7" t="n"/>
      <c r="D181" s="7" t="n"/>
      <c r="E181" s="7" t="n"/>
      <c r="G181" s="8">
        <f>IF(TRIM(B181)="","",IFERROR(VALUE(B181),IFERROR((VALUE(LEFT(TRIM(B181),SEARCH(" o ",TRIM(B181))-1))+VALUE(LEFT(MID(TRIM(B181),SEARCH(" o ",TRIM(B181))+3,99),FIND(" ",MID(TRIM(B181),SEARCH(" o ",TRIM(B181))+3,99)&amp;" ")-1)))/2,IFERROR(VALUE(LEFT(TRIM(B181),FIND(" ",TRIM(B181)&amp;" ")-1)),""))))</f>
        <v/>
      </c>
      <c r="H181" s="8">
        <f>IF(TRIM(C181)="","",IFERROR(VALUE(C181),IFERROR((VALUE(LEFT(TRIM(C181),SEARCH(" o ",TRIM(C181))-1))+VALUE(LEFT(MID(TRIM(C181),SEARCH(" o ",TRIM(C181))+3,99),FIND(" ",MID(TRIM(C181),SEARCH(" o ",TRIM(C181))+3,99)&amp;" ")-1)))/2,IFERROR(VALUE(LEFT(TRIM(C181),FIND(" ",TRIM(C181)&amp;" ")-1)),""))))</f>
        <v/>
      </c>
      <c r="I181" s="8">
        <f>IF(TRIM(D181)="","",IFERROR(VALUE(D181),IFERROR((VALUE(LEFT(TRIM(D181),SEARCH(" o ",TRIM(D181))-1))+VALUE(LEFT(MID(TRIM(D181),SEARCH(" o ",TRIM(D181))+3,99),FIND(" ",MID(TRIM(D181),SEARCH(" o ",TRIM(D181))+3,99)&amp;" ")-1)))/2,IFERROR(VALUE(LEFT(TRIM(D181),FIND(" ",TRIM(D181)&amp;" ")-1)),""))))</f>
        <v/>
      </c>
    </row>
    <row r="182">
      <c r="A182" s="6" t="n"/>
      <c r="B182" s="7" t="n"/>
      <c r="C182" s="7" t="n"/>
      <c r="D182" s="7" t="n"/>
      <c r="E182" s="7" t="n"/>
      <c r="G182" s="8">
        <f>IF(TRIM(B182)="","",IFERROR(VALUE(B182),IFERROR((VALUE(LEFT(TRIM(B182),SEARCH(" o ",TRIM(B182))-1))+VALUE(LEFT(MID(TRIM(B182),SEARCH(" o ",TRIM(B182))+3,99),FIND(" ",MID(TRIM(B182),SEARCH(" o ",TRIM(B182))+3,99)&amp;" ")-1)))/2,IFERROR(VALUE(LEFT(TRIM(B182),FIND(" ",TRIM(B182)&amp;" ")-1)),""))))</f>
        <v/>
      </c>
      <c r="H182" s="8">
        <f>IF(TRIM(C182)="","",IFERROR(VALUE(C182),IFERROR((VALUE(LEFT(TRIM(C182),SEARCH(" o ",TRIM(C182))-1))+VALUE(LEFT(MID(TRIM(C182),SEARCH(" o ",TRIM(C182))+3,99),FIND(" ",MID(TRIM(C182),SEARCH(" o ",TRIM(C182))+3,99)&amp;" ")-1)))/2,IFERROR(VALUE(LEFT(TRIM(C182),FIND(" ",TRIM(C182)&amp;" ")-1)),""))))</f>
        <v/>
      </c>
      <c r="I182" s="8">
        <f>IF(TRIM(D182)="","",IFERROR(VALUE(D182),IFERROR((VALUE(LEFT(TRIM(D182),SEARCH(" o ",TRIM(D182))-1))+VALUE(LEFT(MID(TRIM(D182),SEARCH(" o ",TRIM(D182))+3,99),FIND(" ",MID(TRIM(D182),SEARCH(" o ",TRIM(D182))+3,99)&amp;" ")-1)))/2,IFERROR(VALUE(LEFT(TRIM(D182),FIND(" ",TRIM(D182)&amp;" ")-1)),""))))</f>
        <v/>
      </c>
    </row>
    <row r="183">
      <c r="A183" s="6" t="n"/>
      <c r="B183" s="7" t="n"/>
      <c r="C183" s="7" t="n"/>
      <c r="D183" s="7" t="n"/>
      <c r="E183" s="7" t="n"/>
      <c r="G183" s="8">
        <f>IF(TRIM(B183)="","",IFERROR(VALUE(B183),IFERROR((VALUE(LEFT(TRIM(B183),SEARCH(" o ",TRIM(B183))-1))+VALUE(LEFT(MID(TRIM(B183),SEARCH(" o ",TRIM(B183))+3,99),FIND(" ",MID(TRIM(B183),SEARCH(" o ",TRIM(B183))+3,99)&amp;" ")-1)))/2,IFERROR(VALUE(LEFT(TRIM(B183),FIND(" ",TRIM(B183)&amp;" ")-1)),""))))</f>
        <v/>
      </c>
      <c r="H183" s="8">
        <f>IF(TRIM(C183)="","",IFERROR(VALUE(C183),IFERROR((VALUE(LEFT(TRIM(C183),SEARCH(" o ",TRIM(C183))-1))+VALUE(LEFT(MID(TRIM(C183),SEARCH(" o ",TRIM(C183))+3,99),FIND(" ",MID(TRIM(C183),SEARCH(" o ",TRIM(C183))+3,99)&amp;" ")-1)))/2,IFERROR(VALUE(LEFT(TRIM(C183),FIND(" ",TRIM(C183)&amp;" ")-1)),""))))</f>
        <v/>
      </c>
      <c r="I183" s="8">
        <f>IF(TRIM(D183)="","",IFERROR(VALUE(D183),IFERROR((VALUE(LEFT(TRIM(D183),SEARCH(" o ",TRIM(D183))-1))+VALUE(LEFT(MID(TRIM(D183),SEARCH(" o ",TRIM(D183))+3,99),FIND(" ",MID(TRIM(D183),SEARCH(" o ",TRIM(D183))+3,99)&amp;" ")-1)))/2,IFERROR(VALUE(LEFT(TRIM(D183),FIND(" ",TRIM(D183)&amp;" ")-1)),""))))</f>
        <v/>
      </c>
    </row>
    <row r="184">
      <c r="A184" s="6" t="n"/>
      <c r="B184" s="7" t="n"/>
      <c r="C184" s="7" t="n"/>
      <c r="D184" s="7" t="n"/>
      <c r="E184" s="7" t="n"/>
      <c r="G184" s="8">
        <f>IF(TRIM(B184)="","",IFERROR(VALUE(B184),IFERROR((VALUE(LEFT(TRIM(B184),SEARCH(" o ",TRIM(B184))-1))+VALUE(LEFT(MID(TRIM(B184),SEARCH(" o ",TRIM(B184))+3,99),FIND(" ",MID(TRIM(B184),SEARCH(" o ",TRIM(B184))+3,99)&amp;" ")-1)))/2,IFERROR(VALUE(LEFT(TRIM(B184),FIND(" ",TRIM(B184)&amp;" ")-1)),""))))</f>
        <v/>
      </c>
      <c r="H184" s="8">
        <f>IF(TRIM(C184)="","",IFERROR(VALUE(C184),IFERROR((VALUE(LEFT(TRIM(C184),SEARCH(" o ",TRIM(C184))-1))+VALUE(LEFT(MID(TRIM(C184),SEARCH(" o ",TRIM(C184))+3,99),FIND(" ",MID(TRIM(C184),SEARCH(" o ",TRIM(C184))+3,99)&amp;" ")-1)))/2,IFERROR(VALUE(LEFT(TRIM(C184),FIND(" ",TRIM(C184)&amp;" ")-1)),""))))</f>
        <v/>
      </c>
      <c r="I184" s="8">
        <f>IF(TRIM(D184)="","",IFERROR(VALUE(D184),IFERROR((VALUE(LEFT(TRIM(D184),SEARCH(" o ",TRIM(D184))-1))+VALUE(LEFT(MID(TRIM(D184),SEARCH(" o ",TRIM(D184))+3,99),FIND(" ",MID(TRIM(D184),SEARCH(" o ",TRIM(D184))+3,99)&amp;" ")-1)))/2,IFERROR(VALUE(LEFT(TRIM(D184),FIND(" ",TRIM(D184)&amp;" ")-1)),""))))</f>
        <v/>
      </c>
    </row>
    <row r="185">
      <c r="A185" s="6" t="n"/>
      <c r="B185" s="7" t="n"/>
      <c r="C185" s="7" t="n"/>
      <c r="D185" s="7" t="n"/>
      <c r="E185" s="7" t="n"/>
      <c r="G185" s="8">
        <f>IF(TRIM(B185)="","",IFERROR(VALUE(B185),IFERROR((VALUE(LEFT(TRIM(B185),SEARCH(" o ",TRIM(B185))-1))+VALUE(LEFT(MID(TRIM(B185),SEARCH(" o ",TRIM(B185))+3,99),FIND(" ",MID(TRIM(B185),SEARCH(" o ",TRIM(B185))+3,99)&amp;" ")-1)))/2,IFERROR(VALUE(LEFT(TRIM(B185),FIND(" ",TRIM(B185)&amp;" ")-1)),""))))</f>
        <v/>
      </c>
      <c r="H185" s="8">
        <f>IF(TRIM(C185)="","",IFERROR(VALUE(C185),IFERROR((VALUE(LEFT(TRIM(C185),SEARCH(" o ",TRIM(C185))-1))+VALUE(LEFT(MID(TRIM(C185),SEARCH(" o ",TRIM(C185))+3,99),FIND(" ",MID(TRIM(C185),SEARCH(" o ",TRIM(C185))+3,99)&amp;" ")-1)))/2,IFERROR(VALUE(LEFT(TRIM(C185),FIND(" ",TRIM(C185)&amp;" ")-1)),""))))</f>
        <v/>
      </c>
      <c r="I185" s="8">
        <f>IF(TRIM(D185)="","",IFERROR(VALUE(D185),IFERROR((VALUE(LEFT(TRIM(D185),SEARCH(" o ",TRIM(D185))-1))+VALUE(LEFT(MID(TRIM(D185),SEARCH(" o ",TRIM(D185))+3,99),FIND(" ",MID(TRIM(D185),SEARCH(" o ",TRIM(D185))+3,99)&amp;" ")-1)))/2,IFERROR(VALUE(LEFT(TRIM(D185),FIND(" ",TRIM(D185)&amp;" ")-1)),""))))</f>
        <v/>
      </c>
    </row>
    <row r="186">
      <c r="A186" s="6" t="n"/>
      <c r="B186" s="7" t="n"/>
      <c r="C186" s="7" t="n"/>
      <c r="D186" s="7" t="n"/>
      <c r="E186" s="7" t="n"/>
      <c r="G186" s="8">
        <f>IF(TRIM(B186)="","",IFERROR(VALUE(B186),IFERROR((VALUE(LEFT(TRIM(B186),SEARCH(" o ",TRIM(B186))-1))+VALUE(LEFT(MID(TRIM(B186),SEARCH(" o ",TRIM(B186))+3,99),FIND(" ",MID(TRIM(B186),SEARCH(" o ",TRIM(B186))+3,99)&amp;" ")-1)))/2,IFERROR(VALUE(LEFT(TRIM(B186),FIND(" ",TRIM(B186)&amp;" ")-1)),""))))</f>
        <v/>
      </c>
      <c r="H186" s="8">
        <f>IF(TRIM(C186)="","",IFERROR(VALUE(C186),IFERROR((VALUE(LEFT(TRIM(C186),SEARCH(" o ",TRIM(C186))-1))+VALUE(LEFT(MID(TRIM(C186),SEARCH(" o ",TRIM(C186))+3,99),FIND(" ",MID(TRIM(C186),SEARCH(" o ",TRIM(C186))+3,99)&amp;" ")-1)))/2,IFERROR(VALUE(LEFT(TRIM(C186),FIND(" ",TRIM(C186)&amp;" ")-1)),""))))</f>
        <v/>
      </c>
      <c r="I186" s="8">
        <f>IF(TRIM(D186)="","",IFERROR(VALUE(D186),IFERROR((VALUE(LEFT(TRIM(D186),SEARCH(" o ",TRIM(D186))-1))+VALUE(LEFT(MID(TRIM(D186),SEARCH(" o ",TRIM(D186))+3,99),FIND(" ",MID(TRIM(D186),SEARCH(" o ",TRIM(D186))+3,99)&amp;" ")-1)))/2,IFERROR(VALUE(LEFT(TRIM(D186),FIND(" ",TRIM(D186)&amp;" ")-1)),""))))</f>
        <v/>
      </c>
    </row>
    <row r="187">
      <c r="A187" s="6" t="n"/>
      <c r="B187" s="7" t="n"/>
      <c r="C187" s="7" t="n"/>
      <c r="D187" s="7" t="n"/>
      <c r="E187" s="7" t="n"/>
      <c r="G187" s="8">
        <f>IF(TRIM(B187)="","",IFERROR(VALUE(B187),IFERROR((VALUE(LEFT(TRIM(B187),SEARCH(" o ",TRIM(B187))-1))+VALUE(LEFT(MID(TRIM(B187),SEARCH(" o ",TRIM(B187))+3,99),FIND(" ",MID(TRIM(B187),SEARCH(" o ",TRIM(B187))+3,99)&amp;" ")-1)))/2,IFERROR(VALUE(LEFT(TRIM(B187),FIND(" ",TRIM(B187)&amp;" ")-1)),""))))</f>
        <v/>
      </c>
      <c r="H187" s="8">
        <f>IF(TRIM(C187)="","",IFERROR(VALUE(C187),IFERROR((VALUE(LEFT(TRIM(C187),SEARCH(" o ",TRIM(C187))-1))+VALUE(LEFT(MID(TRIM(C187),SEARCH(" o ",TRIM(C187))+3,99),FIND(" ",MID(TRIM(C187),SEARCH(" o ",TRIM(C187))+3,99)&amp;" ")-1)))/2,IFERROR(VALUE(LEFT(TRIM(C187),FIND(" ",TRIM(C187)&amp;" ")-1)),""))))</f>
        <v/>
      </c>
      <c r="I187" s="8">
        <f>IF(TRIM(D187)="","",IFERROR(VALUE(D187),IFERROR((VALUE(LEFT(TRIM(D187),SEARCH(" o ",TRIM(D187))-1))+VALUE(LEFT(MID(TRIM(D187),SEARCH(" o ",TRIM(D187))+3,99),FIND(" ",MID(TRIM(D187),SEARCH(" o ",TRIM(D187))+3,99)&amp;" ")-1)))/2,IFERROR(VALUE(LEFT(TRIM(D187),FIND(" ",TRIM(D187)&amp;" ")-1)),""))))</f>
        <v/>
      </c>
    </row>
    <row r="188">
      <c r="A188" s="6" t="n"/>
      <c r="B188" s="7" t="n"/>
      <c r="C188" s="7" t="n"/>
      <c r="D188" s="7" t="n"/>
      <c r="E188" s="7" t="n"/>
      <c r="G188" s="8">
        <f>IF(TRIM(B188)="","",IFERROR(VALUE(B188),IFERROR((VALUE(LEFT(TRIM(B188),SEARCH(" o ",TRIM(B188))-1))+VALUE(LEFT(MID(TRIM(B188),SEARCH(" o ",TRIM(B188))+3,99),FIND(" ",MID(TRIM(B188),SEARCH(" o ",TRIM(B188))+3,99)&amp;" ")-1)))/2,IFERROR(VALUE(LEFT(TRIM(B188),FIND(" ",TRIM(B188)&amp;" ")-1)),""))))</f>
        <v/>
      </c>
      <c r="H188" s="8">
        <f>IF(TRIM(C188)="","",IFERROR(VALUE(C188),IFERROR((VALUE(LEFT(TRIM(C188),SEARCH(" o ",TRIM(C188))-1))+VALUE(LEFT(MID(TRIM(C188),SEARCH(" o ",TRIM(C188))+3,99),FIND(" ",MID(TRIM(C188),SEARCH(" o ",TRIM(C188))+3,99)&amp;" ")-1)))/2,IFERROR(VALUE(LEFT(TRIM(C188),FIND(" ",TRIM(C188)&amp;" ")-1)),""))))</f>
        <v/>
      </c>
      <c r="I188" s="8">
        <f>IF(TRIM(D188)="","",IFERROR(VALUE(D188),IFERROR((VALUE(LEFT(TRIM(D188),SEARCH(" o ",TRIM(D188))-1))+VALUE(LEFT(MID(TRIM(D188),SEARCH(" o ",TRIM(D188))+3,99),FIND(" ",MID(TRIM(D188),SEARCH(" o ",TRIM(D188))+3,99)&amp;" ")-1)))/2,IFERROR(VALUE(LEFT(TRIM(D188),FIND(" ",TRIM(D188)&amp;" ")-1)),""))))</f>
        <v/>
      </c>
    </row>
    <row r="189">
      <c r="A189" s="6" t="n"/>
      <c r="B189" s="7" t="n"/>
      <c r="C189" s="7" t="n"/>
      <c r="D189" s="7" t="n"/>
      <c r="E189" s="7" t="n"/>
      <c r="G189" s="8">
        <f>IF(TRIM(B189)="","",IFERROR(VALUE(B189),IFERROR((VALUE(LEFT(TRIM(B189),SEARCH(" o ",TRIM(B189))-1))+VALUE(LEFT(MID(TRIM(B189),SEARCH(" o ",TRIM(B189))+3,99),FIND(" ",MID(TRIM(B189),SEARCH(" o ",TRIM(B189))+3,99)&amp;" ")-1)))/2,IFERROR(VALUE(LEFT(TRIM(B189),FIND(" ",TRIM(B189)&amp;" ")-1)),""))))</f>
        <v/>
      </c>
      <c r="H189" s="8">
        <f>IF(TRIM(C189)="","",IFERROR(VALUE(C189),IFERROR((VALUE(LEFT(TRIM(C189),SEARCH(" o ",TRIM(C189))-1))+VALUE(LEFT(MID(TRIM(C189),SEARCH(" o ",TRIM(C189))+3,99),FIND(" ",MID(TRIM(C189),SEARCH(" o ",TRIM(C189))+3,99)&amp;" ")-1)))/2,IFERROR(VALUE(LEFT(TRIM(C189),FIND(" ",TRIM(C189)&amp;" ")-1)),""))))</f>
        <v/>
      </c>
      <c r="I189" s="8">
        <f>IF(TRIM(D189)="","",IFERROR(VALUE(D189),IFERROR((VALUE(LEFT(TRIM(D189),SEARCH(" o ",TRIM(D189))-1))+VALUE(LEFT(MID(TRIM(D189),SEARCH(" o ",TRIM(D189))+3,99),FIND(" ",MID(TRIM(D189),SEARCH(" o ",TRIM(D189))+3,99)&amp;" ")-1)))/2,IFERROR(VALUE(LEFT(TRIM(D189),FIND(" ",TRIM(D189)&amp;" ")-1)),""))))</f>
        <v/>
      </c>
    </row>
    <row r="190">
      <c r="A190" s="6" t="n"/>
      <c r="B190" s="7" t="n"/>
      <c r="C190" s="7" t="n"/>
      <c r="D190" s="7" t="n"/>
      <c r="E190" s="7" t="n"/>
      <c r="G190" s="8">
        <f>IF(TRIM(B190)="","",IFERROR(VALUE(B190),IFERROR((VALUE(LEFT(TRIM(B190),SEARCH(" o ",TRIM(B190))-1))+VALUE(LEFT(MID(TRIM(B190),SEARCH(" o ",TRIM(B190))+3,99),FIND(" ",MID(TRIM(B190),SEARCH(" o ",TRIM(B190))+3,99)&amp;" ")-1)))/2,IFERROR(VALUE(LEFT(TRIM(B190),FIND(" ",TRIM(B190)&amp;" ")-1)),""))))</f>
        <v/>
      </c>
      <c r="H190" s="8">
        <f>IF(TRIM(C190)="","",IFERROR(VALUE(C190),IFERROR((VALUE(LEFT(TRIM(C190),SEARCH(" o ",TRIM(C190))-1))+VALUE(LEFT(MID(TRIM(C190),SEARCH(" o ",TRIM(C190))+3,99),FIND(" ",MID(TRIM(C190),SEARCH(" o ",TRIM(C190))+3,99)&amp;" ")-1)))/2,IFERROR(VALUE(LEFT(TRIM(C190),FIND(" ",TRIM(C190)&amp;" ")-1)),""))))</f>
        <v/>
      </c>
      <c r="I190" s="8">
        <f>IF(TRIM(D190)="","",IFERROR(VALUE(D190),IFERROR((VALUE(LEFT(TRIM(D190),SEARCH(" o ",TRIM(D190))-1))+VALUE(LEFT(MID(TRIM(D190),SEARCH(" o ",TRIM(D190))+3,99),FIND(" ",MID(TRIM(D190),SEARCH(" o ",TRIM(D190))+3,99)&amp;" ")-1)))/2,IFERROR(VALUE(LEFT(TRIM(D190),FIND(" ",TRIM(D190)&amp;" ")-1)),""))))</f>
        <v/>
      </c>
    </row>
    <row r="191">
      <c r="A191" s="6" t="n"/>
      <c r="B191" s="7" t="n"/>
      <c r="C191" s="7" t="n"/>
      <c r="D191" s="7" t="n"/>
      <c r="E191" s="7" t="n"/>
      <c r="G191" s="8">
        <f>IF(TRIM(B191)="","",IFERROR(VALUE(B191),IFERROR((VALUE(LEFT(TRIM(B191),SEARCH(" o ",TRIM(B191))-1))+VALUE(LEFT(MID(TRIM(B191),SEARCH(" o ",TRIM(B191))+3,99),FIND(" ",MID(TRIM(B191),SEARCH(" o ",TRIM(B191))+3,99)&amp;" ")-1)))/2,IFERROR(VALUE(LEFT(TRIM(B191),FIND(" ",TRIM(B191)&amp;" ")-1)),""))))</f>
        <v/>
      </c>
      <c r="H191" s="8">
        <f>IF(TRIM(C191)="","",IFERROR(VALUE(C191),IFERROR((VALUE(LEFT(TRIM(C191),SEARCH(" o ",TRIM(C191))-1))+VALUE(LEFT(MID(TRIM(C191),SEARCH(" o ",TRIM(C191))+3,99),FIND(" ",MID(TRIM(C191),SEARCH(" o ",TRIM(C191))+3,99)&amp;" ")-1)))/2,IFERROR(VALUE(LEFT(TRIM(C191),FIND(" ",TRIM(C191)&amp;" ")-1)),""))))</f>
        <v/>
      </c>
      <c r="I191" s="8">
        <f>IF(TRIM(D191)="","",IFERROR(VALUE(D191),IFERROR((VALUE(LEFT(TRIM(D191),SEARCH(" o ",TRIM(D191))-1))+VALUE(LEFT(MID(TRIM(D191),SEARCH(" o ",TRIM(D191))+3,99),FIND(" ",MID(TRIM(D191),SEARCH(" o ",TRIM(D191))+3,99)&amp;" ")-1)))/2,IFERROR(VALUE(LEFT(TRIM(D191),FIND(" ",TRIM(D191)&amp;" ")-1)),""))))</f>
        <v/>
      </c>
    </row>
    <row r="192">
      <c r="A192" s="6" t="n"/>
      <c r="B192" s="7" t="n"/>
      <c r="C192" s="7" t="n"/>
      <c r="D192" s="7" t="n"/>
      <c r="E192" s="7" t="n"/>
      <c r="G192" s="8">
        <f>IF(TRIM(B192)="","",IFERROR(VALUE(B192),IFERROR((VALUE(LEFT(TRIM(B192),SEARCH(" o ",TRIM(B192))-1))+VALUE(LEFT(MID(TRIM(B192),SEARCH(" o ",TRIM(B192))+3,99),FIND(" ",MID(TRIM(B192),SEARCH(" o ",TRIM(B192))+3,99)&amp;" ")-1)))/2,IFERROR(VALUE(LEFT(TRIM(B192),FIND(" ",TRIM(B192)&amp;" ")-1)),""))))</f>
        <v/>
      </c>
      <c r="H192" s="8">
        <f>IF(TRIM(C192)="","",IFERROR(VALUE(C192),IFERROR((VALUE(LEFT(TRIM(C192),SEARCH(" o ",TRIM(C192))-1))+VALUE(LEFT(MID(TRIM(C192),SEARCH(" o ",TRIM(C192))+3,99),FIND(" ",MID(TRIM(C192),SEARCH(" o ",TRIM(C192))+3,99)&amp;" ")-1)))/2,IFERROR(VALUE(LEFT(TRIM(C192),FIND(" ",TRIM(C192)&amp;" ")-1)),""))))</f>
        <v/>
      </c>
      <c r="I192" s="8">
        <f>IF(TRIM(D192)="","",IFERROR(VALUE(D192),IFERROR((VALUE(LEFT(TRIM(D192),SEARCH(" o ",TRIM(D192))-1))+VALUE(LEFT(MID(TRIM(D192),SEARCH(" o ",TRIM(D192))+3,99),FIND(" ",MID(TRIM(D192),SEARCH(" o ",TRIM(D192))+3,99)&amp;" ")-1)))/2,IFERROR(VALUE(LEFT(TRIM(D192),FIND(" ",TRIM(D192)&amp;" ")-1)),""))))</f>
        <v/>
      </c>
    </row>
    <row r="193">
      <c r="A193" s="6" t="n"/>
      <c r="B193" s="7" t="n"/>
      <c r="C193" s="7" t="n"/>
      <c r="D193" s="7" t="n"/>
      <c r="E193" s="7" t="n"/>
      <c r="G193" s="8">
        <f>IF(TRIM(B193)="","",IFERROR(VALUE(B193),IFERROR((VALUE(LEFT(TRIM(B193),SEARCH(" o ",TRIM(B193))-1))+VALUE(LEFT(MID(TRIM(B193),SEARCH(" o ",TRIM(B193))+3,99),FIND(" ",MID(TRIM(B193),SEARCH(" o ",TRIM(B193))+3,99)&amp;" ")-1)))/2,IFERROR(VALUE(LEFT(TRIM(B193),FIND(" ",TRIM(B193)&amp;" ")-1)),""))))</f>
        <v/>
      </c>
      <c r="H193" s="8">
        <f>IF(TRIM(C193)="","",IFERROR(VALUE(C193),IFERROR((VALUE(LEFT(TRIM(C193),SEARCH(" o ",TRIM(C193))-1))+VALUE(LEFT(MID(TRIM(C193),SEARCH(" o ",TRIM(C193))+3,99),FIND(" ",MID(TRIM(C193),SEARCH(" o ",TRIM(C193))+3,99)&amp;" ")-1)))/2,IFERROR(VALUE(LEFT(TRIM(C193),FIND(" ",TRIM(C193)&amp;" ")-1)),""))))</f>
        <v/>
      </c>
      <c r="I193" s="8">
        <f>IF(TRIM(D193)="","",IFERROR(VALUE(D193),IFERROR((VALUE(LEFT(TRIM(D193),SEARCH(" o ",TRIM(D193))-1))+VALUE(LEFT(MID(TRIM(D193),SEARCH(" o ",TRIM(D193))+3,99),FIND(" ",MID(TRIM(D193),SEARCH(" o ",TRIM(D193))+3,99)&amp;" ")-1)))/2,IFERROR(VALUE(LEFT(TRIM(D193),FIND(" ",TRIM(D193)&amp;" ")-1)),""))))</f>
        <v/>
      </c>
    </row>
    <row r="194">
      <c r="A194" s="6" t="n"/>
      <c r="B194" s="7" t="n"/>
      <c r="C194" s="7" t="n"/>
      <c r="D194" s="7" t="n"/>
      <c r="E194" s="7" t="n"/>
      <c r="G194" s="8">
        <f>IF(TRIM(B194)="","",IFERROR(VALUE(B194),IFERROR((VALUE(LEFT(TRIM(B194),SEARCH(" o ",TRIM(B194))-1))+VALUE(LEFT(MID(TRIM(B194),SEARCH(" o ",TRIM(B194))+3,99),FIND(" ",MID(TRIM(B194),SEARCH(" o ",TRIM(B194))+3,99)&amp;" ")-1)))/2,IFERROR(VALUE(LEFT(TRIM(B194),FIND(" ",TRIM(B194)&amp;" ")-1)),""))))</f>
        <v/>
      </c>
      <c r="H194" s="8">
        <f>IF(TRIM(C194)="","",IFERROR(VALUE(C194),IFERROR((VALUE(LEFT(TRIM(C194),SEARCH(" o ",TRIM(C194))-1))+VALUE(LEFT(MID(TRIM(C194),SEARCH(" o ",TRIM(C194))+3,99),FIND(" ",MID(TRIM(C194),SEARCH(" o ",TRIM(C194))+3,99)&amp;" ")-1)))/2,IFERROR(VALUE(LEFT(TRIM(C194),FIND(" ",TRIM(C194)&amp;" ")-1)),""))))</f>
        <v/>
      </c>
      <c r="I194" s="8">
        <f>IF(TRIM(D194)="","",IFERROR(VALUE(D194),IFERROR((VALUE(LEFT(TRIM(D194),SEARCH(" o ",TRIM(D194))-1))+VALUE(LEFT(MID(TRIM(D194),SEARCH(" o ",TRIM(D194))+3,99),FIND(" ",MID(TRIM(D194),SEARCH(" o ",TRIM(D194))+3,99)&amp;" ")-1)))/2,IFERROR(VALUE(LEFT(TRIM(D194),FIND(" ",TRIM(D194)&amp;" ")-1)),""))))</f>
        <v/>
      </c>
    </row>
    <row r="195">
      <c r="A195" s="6" t="n"/>
      <c r="B195" s="7" t="n"/>
      <c r="C195" s="7" t="n"/>
      <c r="D195" s="7" t="n"/>
      <c r="E195" s="7" t="n"/>
      <c r="G195" s="8">
        <f>IF(TRIM(B195)="","",IFERROR(VALUE(B195),IFERROR((VALUE(LEFT(TRIM(B195),SEARCH(" o ",TRIM(B195))-1))+VALUE(LEFT(MID(TRIM(B195),SEARCH(" o ",TRIM(B195))+3,99),FIND(" ",MID(TRIM(B195),SEARCH(" o ",TRIM(B195))+3,99)&amp;" ")-1)))/2,IFERROR(VALUE(LEFT(TRIM(B195),FIND(" ",TRIM(B195)&amp;" ")-1)),""))))</f>
        <v/>
      </c>
      <c r="H195" s="8">
        <f>IF(TRIM(C195)="","",IFERROR(VALUE(C195),IFERROR((VALUE(LEFT(TRIM(C195),SEARCH(" o ",TRIM(C195))-1))+VALUE(LEFT(MID(TRIM(C195),SEARCH(" o ",TRIM(C195))+3,99),FIND(" ",MID(TRIM(C195),SEARCH(" o ",TRIM(C195))+3,99)&amp;" ")-1)))/2,IFERROR(VALUE(LEFT(TRIM(C195),FIND(" ",TRIM(C195)&amp;" ")-1)),""))))</f>
        <v/>
      </c>
      <c r="I195" s="8">
        <f>IF(TRIM(D195)="","",IFERROR(VALUE(D195),IFERROR((VALUE(LEFT(TRIM(D195),SEARCH(" o ",TRIM(D195))-1))+VALUE(LEFT(MID(TRIM(D195),SEARCH(" o ",TRIM(D195))+3,99),FIND(" ",MID(TRIM(D195),SEARCH(" o ",TRIM(D195))+3,99)&amp;" ")-1)))/2,IFERROR(VALUE(LEFT(TRIM(D195),FIND(" ",TRIM(D195)&amp;" ")-1)),""))))</f>
        <v/>
      </c>
    </row>
    <row r="196">
      <c r="A196" s="6" t="n"/>
      <c r="B196" s="7" t="n"/>
      <c r="C196" s="7" t="n"/>
      <c r="D196" s="7" t="n"/>
      <c r="E196" s="7" t="n"/>
      <c r="G196" s="8">
        <f>IF(TRIM(B196)="","",IFERROR(VALUE(B196),IFERROR((VALUE(LEFT(TRIM(B196),SEARCH(" o ",TRIM(B196))-1))+VALUE(LEFT(MID(TRIM(B196),SEARCH(" o ",TRIM(B196))+3,99),FIND(" ",MID(TRIM(B196),SEARCH(" o ",TRIM(B196))+3,99)&amp;" ")-1)))/2,IFERROR(VALUE(LEFT(TRIM(B196),FIND(" ",TRIM(B196)&amp;" ")-1)),""))))</f>
        <v/>
      </c>
      <c r="H196" s="8">
        <f>IF(TRIM(C196)="","",IFERROR(VALUE(C196),IFERROR((VALUE(LEFT(TRIM(C196),SEARCH(" o ",TRIM(C196))-1))+VALUE(LEFT(MID(TRIM(C196),SEARCH(" o ",TRIM(C196))+3,99),FIND(" ",MID(TRIM(C196),SEARCH(" o ",TRIM(C196))+3,99)&amp;" ")-1)))/2,IFERROR(VALUE(LEFT(TRIM(C196),FIND(" ",TRIM(C196)&amp;" ")-1)),""))))</f>
        <v/>
      </c>
      <c r="I196" s="8">
        <f>IF(TRIM(D196)="","",IFERROR(VALUE(D196),IFERROR((VALUE(LEFT(TRIM(D196),SEARCH(" o ",TRIM(D196))-1))+VALUE(LEFT(MID(TRIM(D196),SEARCH(" o ",TRIM(D196))+3,99),FIND(" ",MID(TRIM(D196),SEARCH(" o ",TRIM(D196))+3,99)&amp;" ")-1)))/2,IFERROR(VALUE(LEFT(TRIM(D196),FIND(" ",TRIM(D196)&amp;" ")-1)),""))))</f>
        <v/>
      </c>
    </row>
    <row r="197">
      <c r="A197" s="6" t="n"/>
      <c r="B197" s="7" t="n"/>
      <c r="C197" s="7" t="n"/>
      <c r="D197" s="7" t="n"/>
      <c r="E197" s="7" t="n"/>
      <c r="G197" s="8">
        <f>IF(TRIM(B197)="","",IFERROR(VALUE(B197),IFERROR((VALUE(LEFT(TRIM(B197),SEARCH(" o ",TRIM(B197))-1))+VALUE(LEFT(MID(TRIM(B197),SEARCH(" o ",TRIM(B197))+3,99),FIND(" ",MID(TRIM(B197),SEARCH(" o ",TRIM(B197))+3,99)&amp;" ")-1)))/2,IFERROR(VALUE(LEFT(TRIM(B197),FIND(" ",TRIM(B197)&amp;" ")-1)),""))))</f>
        <v/>
      </c>
      <c r="H197" s="8">
        <f>IF(TRIM(C197)="","",IFERROR(VALUE(C197),IFERROR((VALUE(LEFT(TRIM(C197),SEARCH(" o ",TRIM(C197))-1))+VALUE(LEFT(MID(TRIM(C197),SEARCH(" o ",TRIM(C197))+3,99),FIND(" ",MID(TRIM(C197),SEARCH(" o ",TRIM(C197))+3,99)&amp;" ")-1)))/2,IFERROR(VALUE(LEFT(TRIM(C197),FIND(" ",TRIM(C197)&amp;" ")-1)),""))))</f>
        <v/>
      </c>
      <c r="I197" s="8">
        <f>IF(TRIM(D197)="","",IFERROR(VALUE(D197),IFERROR((VALUE(LEFT(TRIM(D197),SEARCH(" o ",TRIM(D197))-1))+VALUE(LEFT(MID(TRIM(D197),SEARCH(" o ",TRIM(D197))+3,99),FIND(" ",MID(TRIM(D197),SEARCH(" o ",TRIM(D197))+3,99)&amp;" ")-1)))/2,IFERROR(VALUE(LEFT(TRIM(D197),FIND(" ",TRIM(D197)&amp;" ")-1)),""))))</f>
        <v/>
      </c>
    </row>
    <row r="198">
      <c r="A198" s="6" t="n"/>
      <c r="B198" s="7" t="n"/>
      <c r="C198" s="7" t="n"/>
      <c r="D198" s="7" t="n"/>
      <c r="E198" s="7" t="n"/>
      <c r="G198" s="8">
        <f>IF(TRIM(B198)="","",IFERROR(VALUE(B198),IFERROR((VALUE(LEFT(TRIM(B198),SEARCH(" o ",TRIM(B198))-1))+VALUE(LEFT(MID(TRIM(B198),SEARCH(" o ",TRIM(B198))+3,99),FIND(" ",MID(TRIM(B198),SEARCH(" o ",TRIM(B198))+3,99)&amp;" ")-1)))/2,IFERROR(VALUE(LEFT(TRIM(B198),FIND(" ",TRIM(B198)&amp;" ")-1)),""))))</f>
        <v/>
      </c>
      <c r="H198" s="8">
        <f>IF(TRIM(C198)="","",IFERROR(VALUE(C198),IFERROR((VALUE(LEFT(TRIM(C198),SEARCH(" o ",TRIM(C198))-1))+VALUE(LEFT(MID(TRIM(C198),SEARCH(" o ",TRIM(C198))+3,99),FIND(" ",MID(TRIM(C198),SEARCH(" o ",TRIM(C198))+3,99)&amp;" ")-1)))/2,IFERROR(VALUE(LEFT(TRIM(C198),FIND(" ",TRIM(C198)&amp;" ")-1)),""))))</f>
        <v/>
      </c>
      <c r="I198" s="8">
        <f>IF(TRIM(D198)="","",IFERROR(VALUE(D198),IFERROR((VALUE(LEFT(TRIM(D198),SEARCH(" o ",TRIM(D198))-1))+VALUE(LEFT(MID(TRIM(D198),SEARCH(" o ",TRIM(D198))+3,99),FIND(" ",MID(TRIM(D198),SEARCH(" o ",TRIM(D198))+3,99)&amp;" ")-1)))/2,IFERROR(VALUE(LEFT(TRIM(D198),FIND(" ",TRIM(D198)&amp;" ")-1)),""))))</f>
        <v/>
      </c>
    </row>
    <row r="199">
      <c r="A199" s="6" t="n"/>
      <c r="B199" s="7" t="n"/>
      <c r="C199" s="7" t="n"/>
      <c r="D199" s="7" t="n"/>
      <c r="E199" s="7" t="n"/>
      <c r="G199" s="8">
        <f>IF(TRIM(B199)="","",IFERROR(VALUE(B199),IFERROR((VALUE(LEFT(TRIM(B199),SEARCH(" o ",TRIM(B199))-1))+VALUE(LEFT(MID(TRIM(B199),SEARCH(" o ",TRIM(B199))+3,99),FIND(" ",MID(TRIM(B199),SEARCH(" o ",TRIM(B199))+3,99)&amp;" ")-1)))/2,IFERROR(VALUE(LEFT(TRIM(B199),FIND(" ",TRIM(B199)&amp;" ")-1)),""))))</f>
        <v/>
      </c>
      <c r="H199" s="8">
        <f>IF(TRIM(C199)="","",IFERROR(VALUE(C199),IFERROR((VALUE(LEFT(TRIM(C199),SEARCH(" o ",TRIM(C199))-1))+VALUE(LEFT(MID(TRIM(C199),SEARCH(" o ",TRIM(C199))+3,99),FIND(" ",MID(TRIM(C199),SEARCH(" o ",TRIM(C199))+3,99)&amp;" ")-1)))/2,IFERROR(VALUE(LEFT(TRIM(C199),FIND(" ",TRIM(C199)&amp;" ")-1)),""))))</f>
        <v/>
      </c>
      <c r="I199" s="8">
        <f>IF(TRIM(D199)="","",IFERROR(VALUE(D199),IFERROR((VALUE(LEFT(TRIM(D199),SEARCH(" o ",TRIM(D199))-1))+VALUE(LEFT(MID(TRIM(D199),SEARCH(" o ",TRIM(D199))+3,99),FIND(" ",MID(TRIM(D199),SEARCH(" o ",TRIM(D199))+3,99)&amp;" ")-1)))/2,IFERROR(VALUE(LEFT(TRIM(D199),FIND(" ",TRIM(D199)&amp;" ")-1)),""))))</f>
        <v/>
      </c>
    </row>
    <row r="200">
      <c r="A200" s="6" t="n"/>
      <c r="B200" s="7" t="n"/>
      <c r="C200" s="7" t="n"/>
      <c r="D200" s="7" t="n"/>
      <c r="E200" s="7" t="n"/>
      <c r="G200" s="8">
        <f>IF(TRIM(B200)="","",IFERROR(VALUE(B200),IFERROR((VALUE(LEFT(TRIM(B200),SEARCH(" o ",TRIM(B200))-1))+VALUE(LEFT(MID(TRIM(B200),SEARCH(" o ",TRIM(B200))+3,99),FIND(" ",MID(TRIM(B200),SEARCH(" o ",TRIM(B200))+3,99)&amp;" ")-1)))/2,IFERROR(VALUE(LEFT(TRIM(B200),FIND(" ",TRIM(B200)&amp;" ")-1)),""))))</f>
        <v/>
      </c>
      <c r="H200" s="8">
        <f>IF(TRIM(C200)="","",IFERROR(VALUE(C200),IFERROR((VALUE(LEFT(TRIM(C200),SEARCH(" o ",TRIM(C200))-1))+VALUE(LEFT(MID(TRIM(C200),SEARCH(" o ",TRIM(C200))+3,99),FIND(" ",MID(TRIM(C200),SEARCH(" o ",TRIM(C200))+3,99)&amp;" ")-1)))/2,IFERROR(VALUE(LEFT(TRIM(C200),FIND(" ",TRIM(C200)&amp;" ")-1)),""))))</f>
        <v/>
      </c>
      <c r="I200" s="8">
        <f>IF(TRIM(D200)="","",IFERROR(VALUE(D200),IFERROR((VALUE(LEFT(TRIM(D200),SEARCH(" o ",TRIM(D200))-1))+VALUE(LEFT(MID(TRIM(D200),SEARCH(" o ",TRIM(D200))+3,99),FIND(" ",MID(TRIM(D200),SEARCH(" o ",TRIM(D200))+3,99)&amp;" ")-1)))/2,IFERROR(VALUE(LEFT(TRIM(D200),FIND(" ",TRIM(D200)&amp;" ")-1)),""))))</f>
        <v/>
      </c>
    </row>
    <row r="201">
      <c r="A201" s="6" t="n"/>
      <c r="B201" s="7" t="n"/>
      <c r="C201" s="7" t="n"/>
      <c r="D201" s="7" t="n"/>
      <c r="E201" s="7" t="n"/>
      <c r="G201" s="8">
        <f>IF(TRIM(B201)="","",IFERROR(VALUE(B201),IFERROR((VALUE(LEFT(TRIM(B201),SEARCH(" o ",TRIM(B201))-1))+VALUE(LEFT(MID(TRIM(B201),SEARCH(" o ",TRIM(B201))+3,99),FIND(" ",MID(TRIM(B201),SEARCH(" o ",TRIM(B201))+3,99)&amp;" ")-1)))/2,IFERROR(VALUE(LEFT(TRIM(B201),FIND(" ",TRIM(B201)&amp;" ")-1)),""))))</f>
        <v/>
      </c>
      <c r="H201" s="8">
        <f>IF(TRIM(C201)="","",IFERROR(VALUE(C201),IFERROR((VALUE(LEFT(TRIM(C201),SEARCH(" o ",TRIM(C201))-1))+VALUE(LEFT(MID(TRIM(C201),SEARCH(" o ",TRIM(C201))+3,99),FIND(" ",MID(TRIM(C201),SEARCH(" o ",TRIM(C201))+3,99)&amp;" ")-1)))/2,IFERROR(VALUE(LEFT(TRIM(C201),FIND(" ",TRIM(C201)&amp;" ")-1)),""))))</f>
        <v/>
      </c>
      <c r="I201" s="8">
        <f>IF(TRIM(D201)="","",IFERROR(VALUE(D201),IFERROR((VALUE(LEFT(TRIM(D201),SEARCH(" o ",TRIM(D201))-1))+VALUE(LEFT(MID(TRIM(D201),SEARCH(" o ",TRIM(D201))+3,99),FIND(" ",MID(TRIM(D201),SEARCH(" o ",TRIM(D201))+3,99)&amp;" ")-1)))/2,IFERROR(VALUE(LEFT(TRIM(D201),FIND(" ",TRIM(D201)&amp;" ")-1)),""))))</f>
        <v/>
      </c>
    </row>
    <row r="203">
      <c r="G203" s="9" t="inlineStr">
        <is>
          <t>G, H e I salen solas: sacan el número de lo que se escribió («3 vasos» → 3, «1 o 2 horas» → 1.5).</t>
        </is>
      </c>
    </row>
  </sheetData>
  <dataValidations count="1">
    <dataValidation sqref="E2:E201" showDropDown="0" showInputMessage="0" showErrorMessage="1" allowBlank="1" errorTitle="Nivel de energía" error="Elige Bajo, Medio o Alto." type="list">
      <formula1>"Bajo,Medio,Alto"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2.5" customWidth="1" min="2" max="2"/>
    <col width="6.5" customWidth="1" min="3" max="3"/>
    <col width="15" customWidth="1" min="4" max="4"/>
    <col width="13" customWidth="1" min="5" max="5"/>
    <col width="7" customWidth="1" min="6" max="6"/>
    <col width="11" customWidth="1" min="7" max="7"/>
    <col width="11" customWidth="1" min="8" max="8"/>
    <col width="11" customWidth="1" min="9" max="9"/>
    <col width="4" customWidth="1" min="10" max="10"/>
    <col width="2.5" customWidth="1" min="11" max="11"/>
    <col width="3.5" customWidth="1" min="12" max="12"/>
  </cols>
  <sheetData>
    <row r="1" ht="12" customHeight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26" customHeight="1">
      <c r="A2" s="10" t="n"/>
      <c r="B2" s="11" t="n"/>
      <c r="C2" s="12" t="inlineStr">
        <is>
          <t>Mis patrones saludables</t>
        </is>
      </c>
      <c r="K2" s="11" t="n"/>
      <c r="L2" s="10" t="n"/>
    </row>
    <row r="3" ht="22" customHeight="1">
      <c r="A3" s="10" t="n"/>
      <c r="B3" s="11" t="n"/>
      <c r="K3" s="11" t="n"/>
      <c r="L3" s="10" t="n"/>
    </row>
    <row r="4">
      <c r="A4" s="10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0" t="n"/>
    </row>
    <row r="5" ht="20" customHeight="1">
      <c r="A5" s="10" t="n"/>
      <c r="B5" s="11" t="n"/>
      <c r="C5" s="11" t="n"/>
      <c r="D5" s="13" t="inlineStr">
        <is>
          <t>Crea una pestaña llamada</t>
        </is>
      </c>
      <c r="I5" s="14" t="inlineStr">
        <is>
          <t>📗</t>
        </is>
      </c>
      <c r="J5" s="11" t="n"/>
      <c r="K5" s="11" t="n"/>
      <c r="L5" s="10" t="n"/>
    </row>
    <row r="6" ht="22" customHeight="1">
      <c r="A6" s="10" t="n"/>
      <c r="B6" s="11" t="n"/>
      <c r="C6" s="11" t="n"/>
      <c r="D6" s="15" t="inlineStr">
        <is>
          <t>“Patrones v1”</t>
        </is>
      </c>
      <c r="J6" s="11" t="n"/>
      <c r="K6" s="11" t="n"/>
      <c r="L6" s="10" t="n"/>
    </row>
    <row r="7">
      <c r="A7" s="10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0" t="n"/>
    </row>
    <row r="8" ht="22" customHeight="1">
      <c r="A8" s="10" t="n"/>
      <c r="B8" s="11" t="n"/>
      <c r="C8" s="16" t="inlineStr">
        <is>
          <t>Variable</t>
        </is>
      </c>
      <c r="D8" s="17" t="n"/>
      <c r="E8" s="17" t="n"/>
      <c r="F8" s="17" t="n"/>
      <c r="G8" s="18" t="inlineStr">
        <is>
          <t>Promedio</t>
        </is>
      </c>
      <c r="H8" s="18" t="inlineStr">
        <is>
          <t>Máximo</t>
        </is>
      </c>
      <c r="I8" s="19" t="inlineStr">
        <is>
          <t>Mínimo</t>
        </is>
      </c>
      <c r="J8" s="11" t="n"/>
      <c r="K8" s="11" t="n"/>
      <c r="L8" s="10" t="n"/>
    </row>
    <row r="9" ht="30" customHeight="1">
      <c r="A9" s="10" t="n"/>
      <c r="B9" s="11" t="n"/>
      <c r="C9" s="20" t="inlineStr">
        <is>
          <t>🥛</t>
        </is>
      </c>
      <c r="D9" s="21" t="inlineStr">
        <is>
          <t>Agua</t>
        </is>
      </c>
      <c r="E9" s="22" t="n"/>
      <c r="F9" s="22" t="n"/>
      <c r="G9" s="23">
        <f>IF(COUNT(Datos!$G$2:$G$201)=0,"",ROUND(AVERAGE(Datos!$G$2:$G$201),1))</f>
        <v/>
      </c>
      <c r="H9" s="23">
        <f>IF(COUNT(Datos!$G$2:$G$201)=0,"",MAX(Datos!$G$2:$G$201))</f>
        <v/>
      </c>
      <c r="I9" s="24">
        <f>IF(COUNT(Datos!$G$2:$G$201)=0,"",MIN(Datos!$G$2:$G$201))</f>
        <v/>
      </c>
      <c r="J9" s="11" t="n"/>
      <c r="K9" s="11" t="n"/>
      <c r="L9" s="10" t="n"/>
    </row>
    <row r="10" ht="30" customHeight="1">
      <c r="A10" s="10" t="n"/>
      <c r="B10" s="11" t="n"/>
      <c r="C10" s="20" t="inlineStr">
        <is>
          <t>😴</t>
        </is>
      </c>
      <c r="D10" s="21" t="inlineStr">
        <is>
          <t>Sueño</t>
        </is>
      </c>
      <c r="E10" s="22" t="n"/>
      <c r="F10" s="22" t="n"/>
      <c r="G10" s="23">
        <f>IF(COUNT(Datos!$H$2:$H$201)=0,"",ROUND(AVERAGE(Datos!$H$2:$H$201),1))</f>
        <v/>
      </c>
      <c r="H10" s="23">
        <f>IF(COUNT(Datos!$H$2:$H$201)=0,"",MAX(Datos!$H$2:$H$201))</f>
        <v/>
      </c>
      <c r="I10" s="24">
        <f>IF(COUNT(Datos!$H$2:$H$201)=0,"",MIN(Datos!$H$2:$H$201))</f>
        <v/>
      </c>
      <c r="J10" s="11" t="n"/>
      <c r="K10" s="11" t="n"/>
      <c r="L10" s="10" t="n"/>
    </row>
    <row r="11" ht="30" customHeight="1">
      <c r="A11" s="10" t="n"/>
      <c r="B11" s="11" t="n"/>
      <c r="C11" s="25" t="inlineStr">
        <is>
          <t>🏃</t>
        </is>
      </c>
      <c r="D11" s="26" t="inlineStr">
        <is>
          <t>Actividad</t>
        </is>
      </c>
      <c r="E11" s="27" t="n"/>
      <c r="F11" s="27" t="n"/>
      <c r="G11" s="28">
        <f>IF(COUNT(Datos!$I$2:$I$201)=0,"",ROUND(AVERAGE(Datos!$I$2:$I$201),1))</f>
        <v/>
      </c>
      <c r="H11" s="28">
        <f>IF(COUNT(Datos!$I$2:$I$201)=0,"",MAX(Datos!$I$2:$I$201))</f>
        <v/>
      </c>
      <c r="I11" s="29">
        <f>IF(COUNT(Datos!$I$2:$I$201)=0,"",MIN(Datos!$I$2:$I$201))</f>
        <v/>
      </c>
      <c r="J11" s="11" t="n"/>
      <c r="K11" s="11" t="n"/>
      <c r="L11" s="10" t="n"/>
    </row>
    <row r="12">
      <c r="A12" s="10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0" t="n"/>
    </row>
    <row r="13" ht="18" customHeight="1">
      <c r="A13" s="10" t="n"/>
      <c r="B13" s="11" t="n"/>
      <c r="C13" s="30" t="inlineStr">
        <is>
          <t>Comparativa de promedios según nivel de energía</t>
        </is>
      </c>
      <c r="D13" s="31" t="n"/>
      <c r="E13" s="31" t="n"/>
      <c r="F13" s="32" t="inlineStr">
        <is>
          <t>🔋🧴</t>
        </is>
      </c>
      <c r="G13" s="33" t="inlineStr">
        <is>
          <t>Dibuja aquí tu gráfica de barras 📊</t>
        </is>
      </c>
      <c r="H13" s="31" t="n"/>
      <c r="I13" s="34" t="n"/>
      <c r="J13" s="11" t="n"/>
      <c r="K13" s="11" t="n"/>
      <c r="L13" s="10" t="n"/>
    </row>
    <row r="14" ht="18" customHeight="1">
      <c r="A14" s="10" t="n"/>
      <c r="B14" s="11" t="n"/>
      <c r="C14" s="35" t="n"/>
      <c r="D14" s="36" t="n"/>
      <c r="E14" s="36" t="n"/>
      <c r="F14" s="37" t="n"/>
      <c r="G14" s="35" t="n"/>
      <c r="H14" s="36" t="n"/>
      <c r="I14" s="37" t="n"/>
      <c r="J14" s="11" t="n"/>
      <c r="K14" s="11" t="n"/>
      <c r="L14" s="10" t="n"/>
    </row>
    <row r="15" ht="22" customHeight="1">
      <c r="A15" s="10" t="n"/>
      <c r="B15" s="11" t="n"/>
      <c r="C15" s="38" t="inlineStr">
        <is>
          <t>Nivel de energía</t>
        </is>
      </c>
      <c r="D15" s="22" t="n"/>
      <c r="E15" s="22" t="n"/>
      <c r="F15" s="39" t="inlineStr">
        <is>
          <t>Agua</t>
        </is>
      </c>
      <c r="G15" s="40" t="n"/>
      <c r="H15" s="41" t="n"/>
      <c r="I15" s="42" t="n"/>
      <c r="J15" s="11" t="n"/>
      <c r="K15" s="11" t="n"/>
      <c r="L15" s="10" t="n"/>
    </row>
    <row r="16" ht="26" customHeight="1">
      <c r="A16" s="10" t="n"/>
      <c r="B16" s="11" t="n"/>
      <c r="C16" s="43" t="inlineStr">
        <is>
          <t>Bajo</t>
        </is>
      </c>
      <c r="D16" s="22" t="n"/>
      <c r="E16" s="22" t="n"/>
      <c r="F16" s="44">
        <f>IF(COUNTIF(Datos!$E$2:$E$201,"Bajo")=0,"",ROUND(AVERAGEIF(Datos!$E$2:$E$201,"Bajo",Datos!$G$2:$G$201),1))</f>
        <v/>
      </c>
      <c r="G16" s="40" t="n"/>
      <c r="H16" s="41" t="n"/>
      <c r="I16" s="42" t="n"/>
      <c r="J16" s="11" t="n"/>
      <c r="K16" s="11" t="n"/>
      <c r="L16" s="10" t="n"/>
    </row>
    <row r="17" ht="26" customHeight="1">
      <c r="A17" s="10" t="n"/>
      <c r="B17" s="11" t="n"/>
      <c r="C17" s="43" t="inlineStr">
        <is>
          <t>Medio</t>
        </is>
      </c>
      <c r="D17" s="22" t="n"/>
      <c r="E17" s="22" t="n"/>
      <c r="F17" s="44">
        <f>IF(COUNTIF(Datos!$E$2:$E$201,"Medio")=0,"",ROUND(AVERAGEIF(Datos!$E$2:$E$201,"Medio",Datos!$G$2:$G$201),1))</f>
        <v/>
      </c>
      <c r="G17" s="40" t="n"/>
      <c r="H17" s="41" t="n"/>
      <c r="I17" s="42" t="n"/>
      <c r="J17" s="11" t="n"/>
      <c r="K17" s="11" t="n"/>
      <c r="L17" s="10" t="n"/>
    </row>
    <row r="18" ht="26" customHeight="1">
      <c r="A18" s="10" t="n"/>
      <c r="B18" s="11" t="n"/>
      <c r="C18" s="45" t="inlineStr">
        <is>
          <t>Alto</t>
        </is>
      </c>
      <c r="D18" s="27" t="n"/>
      <c r="E18" s="27" t="n"/>
      <c r="F18" s="46">
        <f>IF(COUNTIF(Datos!$E$2:$E$201,"Alto")=0,"",ROUND(AVERAGEIF(Datos!$E$2:$E$201,"Alto",Datos!$G$2:$G$201),1))</f>
        <v/>
      </c>
      <c r="G18" s="47" t="n"/>
      <c r="H18" s="48" t="n"/>
      <c r="I18" s="49" t="n"/>
      <c r="J18" s="11" t="n"/>
      <c r="K18" s="11" t="n"/>
      <c r="L18" s="10" t="n"/>
    </row>
    <row r="19">
      <c r="A19" s="10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0" t="n"/>
    </row>
    <row r="20" ht="24" customHeight="1">
      <c r="A20" s="10" t="n"/>
      <c r="B20" s="11" t="n"/>
      <c r="C20" s="50" t="inlineStr">
        <is>
          <t>El patrón que encontramos fue…</t>
        </is>
      </c>
      <c r="D20" s="31" t="n"/>
      <c r="E20" s="31" t="n"/>
      <c r="F20" s="31" t="n"/>
      <c r="G20" s="31" t="n"/>
      <c r="H20" s="31" t="n"/>
      <c r="I20" s="34" t="n"/>
      <c r="J20" s="11" t="n"/>
      <c r="K20" s="11" t="n"/>
      <c r="L20" s="10" t="n"/>
    </row>
    <row r="21" ht="36" customHeight="1">
      <c r="A21" s="10" t="n"/>
      <c r="B21" s="11" t="n"/>
      <c r="C21" s="51">
        <f>IF(COUNT(Datos!$G$2:$G$201)&lt;3,"",IF(OR(F16="",F18=""),IF(OR(COUNTIF(Datos!$H$2:$H$201,"&gt;=7")=0,COUNTIF(Datos!$H$2:$H$201,"&lt;7")=0),"",IF(ROUND(AVERAGEIF(Datos!$H$2:$H$201,"&gt;=7",Datos!$G$2:$G$201),1)&gt;ROUND(AVERAGEIF(Datos!$H$2:$H$201,"&lt;7",Datos!$G$2:$G$201),1),"Quienes duermen 7 horas o más toman más agua ("&amp;ROUND(AVERAGEIF(Datos!$H$2:$H$201,"&gt;=7",Datos!$G$2:$G$201),1)&amp;" vasos) que quienes duermen menos ("&amp;ROUND(AVERAGEIF(Datos!$H$2:$H$201,"&lt;7",Datos!$G$2:$G$201),1)&amp;").",IF(ROUND(AVERAGEIF(Datos!$H$2:$H$201,"&gt;=7",Datos!$G$2:$G$201),1)&lt;ROUND(AVERAGEIF(Datos!$H$2:$H$201,"&lt;7",Datos!$G$2:$G$201),1),"Quienes duermen menos de 7 horas toman más agua ("&amp;ROUND(AVERAGEIF(Datos!$H$2:$H$201,"&lt;7",Datos!$G$2:$G$201),1)&amp;" vasos) que quienes duermen 7 o más ("&amp;ROUND(AVERAGEIF(Datos!$H$2:$H$201,"&gt;=7",Datos!$G$2:$G$201),1)&amp;").","Duerman mucho o poco, toman la misma agua ("&amp;ROUND(AVERAGEIF(Datos!$H$2:$H$201,"&gt;=7",Datos!$G$2:$G$201),1)&amp;" vasos)."))),IF(F18&gt;F16,"Quienes tienen energía ALTA toman más agua ("&amp;F18&amp;" vasos) que quienes la tienen BAJA ("&amp;F16&amp;").",IF(F18&lt;F16,"Quienes tienen energía BAJA toman más agua ("&amp;F16&amp;" vasos) que quienes la tienen ALTA ("&amp;F18&amp;").","Energía alta y baja toman la misma agua ("&amp;F16&amp;" vasos)."))))</f>
        <v/>
      </c>
      <c r="D21" s="52" t="n"/>
      <c r="E21" s="52" t="n"/>
      <c r="F21" s="52" t="n"/>
      <c r="G21" s="52" t="n"/>
      <c r="H21" s="52" t="n"/>
      <c r="I21" s="53" t="n"/>
      <c r="J21" s="11" t="n"/>
      <c r="K21" s="11" t="n"/>
      <c r="L21" s="10" t="n"/>
    </row>
    <row r="22" ht="24" customHeight="1">
      <c r="A22" s="10" t="n"/>
      <c r="B22" s="11" t="n"/>
      <c r="C22" s="54" t="n"/>
      <c r="D22" s="52" t="n"/>
      <c r="E22" s="52" t="n"/>
      <c r="F22" s="52" t="n"/>
      <c r="G22" s="52" t="n"/>
      <c r="H22" s="52" t="n"/>
      <c r="I22" s="53" t="n"/>
      <c r="J22" s="11" t="n"/>
      <c r="K22" s="11" t="n"/>
      <c r="L22" s="10" t="n"/>
    </row>
    <row r="23" ht="24" customHeight="1">
      <c r="A23" s="10" t="n"/>
      <c r="B23" s="11" t="n"/>
      <c r="C23" s="54" t="n"/>
      <c r="D23" s="52" t="n"/>
      <c r="E23" s="52" t="n"/>
      <c r="F23" s="52" t="n"/>
      <c r="G23" s="52" t="n"/>
      <c r="H23" s="52" t="n"/>
      <c r="I23" s="53" t="n"/>
      <c r="J23" s="11" t="n"/>
      <c r="K23" s="11" t="n"/>
      <c r="L23" s="10" t="n"/>
    </row>
    <row r="24" ht="8" customHeight="1">
      <c r="A24" s="10" t="n"/>
      <c r="B24" s="11" t="n"/>
      <c r="C24" s="47" t="n"/>
      <c r="D24" s="48" t="n"/>
      <c r="E24" s="48" t="n"/>
      <c r="F24" s="48" t="n"/>
      <c r="G24" s="48" t="n"/>
      <c r="H24" s="48" t="n"/>
      <c r="I24" s="49" t="n"/>
      <c r="J24" s="11" t="n"/>
      <c r="K24" s="11" t="n"/>
      <c r="L24" s="10" t="n"/>
    </row>
    <row r="25">
      <c r="A25" s="10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0" t="n"/>
    </row>
    <row r="26">
      <c r="A26" s="10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0" t="n"/>
    </row>
    <row r="27" ht="12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</sheetData>
  <mergeCells count="20">
    <mergeCell ref="C16:E16"/>
    <mergeCell ref="C23:I23"/>
    <mergeCell ref="D11:F11"/>
    <mergeCell ref="C8:F8"/>
    <mergeCell ref="C13:E14"/>
    <mergeCell ref="C2:J3"/>
    <mergeCell ref="D6:H6"/>
    <mergeCell ref="D9:F9"/>
    <mergeCell ref="C17:E17"/>
    <mergeCell ref="G13:I14"/>
    <mergeCell ref="I5:I6"/>
    <mergeCell ref="F13:F14"/>
    <mergeCell ref="G8"/>
    <mergeCell ref="C18:E18"/>
    <mergeCell ref="C20:I20"/>
    <mergeCell ref="C15:E15"/>
    <mergeCell ref="D10:F10"/>
    <mergeCell ref="C22:I22"/>
    <mergeCell ref="C21:I21"/>
    <mergeCell ref="D5:H5"/>
  </mergeCells>
  <printOptions horizontalCentered="1"/>
  <pageMargins left="0.75" right="0.75" top="1" bottom="1" header="0.5" footer="0.5"/>
  <pageSetup orientation="portrait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2026-10-22T19:13:23Z</dcterms:created>
  <dcterms:modified xmlns:dcterms="http://purl.org/dc/terms/" xmlns:xsi="http://www.w3.org/2001/XMLSchema-instance" xsi:type="dcterms:W3CDTF">2026-10-22T19:13:23Z</dcterms:modified>
</cp:coreProperties>
</file>